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330" codeName="{AE6600E7-7A62-396C-DE95-9942FA9DD81E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marco\Documents\Meus doc\MR\Aulas - Excel\Trabalhos efetuados\ITA\"/>
    </mc:Choice>
  </mc:AlternateContent>
  <xr:revisionPtr revIDLastSave="0" documentId="13_ncr:1_{427DFF99-CEC6-4E2A-8559-3F811E0E5982}" xr6:coauthVersionLast="47" xr6:coauthVersionMax="47" xr10:uidLastSave="{00000000-0000-0000-0000-000000000000}"/>
  <bookViews>
    <workbookView xWindow="-98" yWindow="-98" windowWidth="20715" windowHeight="13276" activeTab="2" xr2:uid="{00000000-000D-0000-FFFF-FFFF00000000}"/>
  </bookViews>
  <sheets>
    <sheet name="Capa" sheetId="1" r:id="rId1"/>
    <sheet name="Introdução" sheetId="7" r:id="rId2"/>
    <sheet name="Animação" sheetId="5" r:id="rId3"/>
    <sheet name="Cálculo Y1" sheetId="9" r:id="rId4"/>
    <sheet name="Cálculo Y2" sheetId="10" r:id="rId5"/>
    <sheet name="Calculo Final" sheetId="11" r:id="rId6"/>
    <sheet name="Conclusão" sheetId="8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3" i="11" l="1"/>
  <c r="B8" i="11"/>
  <c r="B4" i="11"/>
  <c r="B7" i="11"/>
  <c r="B6" i="11"/>
  <c r="B9" i="11"/>
  <c r="B5" i="11"/>
  <c r="E3" i="11" l="1"/>
  <c r="H3" i="11" s="1"/>
  <c r="F3" i="11"/>
  <c r="G3" i="11"/>
  <c r="E4" i="11"/>
  <c r="E5" i="11"/>
  <c r="E6" i="11"/>
  <c r="E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E38" i="11"/>
  <c r="E39" i="11"/>
  <c r="E40" i="11"/>
  <c r="E41" i="11"/>
  <c r="E42" i="11"/>
  <c r="E43" i="11"/>
  <c r="E44" i="11"/>
  <c r="E45" i="11"/>
  <c r="E46" i="11"/>
  <c r="E47" i="11"/>
  <c r="E48" i="11"/>
  <c r="E49" i="11"/>
  <c r="E50" i="11"/>
  <c r="E51" i="11"/>
  <c r="E52" i="11"/>
  <c r="E53" i="11"/>
  <c r="E54" i="11"/>
  <c r="E55" i="11"/>
  <c r="E56" i="11"/>
  <c r="E57" i="11"/>
  <c r="E58" i="11"/>
  <c r="E59" i="11"/>
  <c r="E60" i="11"/>
  <c r="E61" i="11"/>
  <c r="E62" i="11"/>
  <c r="E63" i="11"/>
  <c r="E64" i="11"/>
  <c r="E65" i="11"/>
  <c r="E66" i="11"/>
  <c r="E67" i="11"/>
  <c r="E68" i="11"/>
  <c r="E69" i="11"/>
  <c r="E70" i="11"/>
  <c r="E71" i="11"/>
  <c r="E72" i="11"/>
  <c r="E73" i="11"/>
  <c r="E74" i="11"/>
  <c r="E75" i="11"/>
  <c r="E76" i="11"/>
  <c r="E77" i="11"/>
  <c r="E78" i="11"/>
  <c r="E79" i="11"/>
  <c r="E80" i="11"/>
  <c r="E81" i="11"/>
  <c r="E82" i="11"/>
  <c r="E83" i="11"/>
  <c r="E84" i="11"/>
  <c r="E85" i="11"/>
  <c r="E86" i="11"/>
  <c r="E87" i="11"/>
  <c r="E88" i="11"/>
  <c r="E89" i="11"/>
  <c r="E90" i="11"/>
  <c r="E91" i="11"/>
  <c r="E92" i="11"/>
  <c r="E93" i="11"/>
  <c r="E94" i="11"/>
  <c r="E95" i="11"/>
  <c r="E96" i="11"/>
  <c r="E97" i="11"/>
  <c r="E98" i="11"/>
  <c r="E99" i="11"/>
  <c r="E100" i="11"/>
  <c r="E101" i="11"/>
  <c r="E102" i="11"/>
  <c r="E103" i="11"/>
  <c r="E3" i="10"/>
  <c r="M3" i="10" s="1"/>
  <c r="N3" i="10"/>
  <c r="E4" i="10"/>
  <c r="M4" i="10" s="1"/>
  <c r="N4" i="10"/>
  <c r="E5" i="10"/>
  <c r="M5" i="10" s="1"/>
  <c r="B6" i="10"/>
  <c r="E6" i="10"/>
  <c r="M6" i="10" s="1"/>
  <c r="B7" i="10"/>
  <c r="E7" i="10"/>
  <c r="N7" i="10" s="1"/>
  <c r="M7" i="10"/>
  <c r="B8" i="10"/>
  <c r="E8" i="10"/>
  <c r="M8" i="10" s="1"/>
  <c r="E9" i="10"/>
  <c r="M9" i="10" s="1"/>
  <c r="N9" i="10"/>
  <c r="E10" i="10"/>
  <c r="M10" i="10" s="1"/>
  <c r="N10" i="10"/>
  <c r="E11" i="10"/>
  <c r="M11" i="10" s="1"/>
  <c r="E12" i="10"/>
  <c r="M12" i="10" s="1"/>
  <c r="E13" i="10"/>
  <c r="M13" i="10" s="1"/>
  <c r="N13" i="10"/>
  <c r="E14" i="10"/>
  <c r="M14" i="10" s="1"/>
  <c r="N14" i="10"/>
  <c r="E15" i="10"/>
  <c r="M15" i="10" s="1"/>
  <c r="E16" i="10"/>
  <c r="M16" i="10" s="1"/>
  <c r="E17" i="10"/>
  <c r="M17" i="10" s="1"/>
  <c r="N17" i="10"/>
  <c r="E18" i="10"/>
  <c r="M18" i="10" s="1"/>
  <c r="N18" i="10"/>
  <c r="E19" i="10"/>
  <c r="M19" i="10" s="1"/>
  <c r="E20" i="10"/>
  <c r="M20" i="10" s="1"/>
  <c r="E21" i="10"/>
  <c r="M21" i="10" s="1"/>
  <c r="N21" i="10"/>
  <c r="E22" i="10"/>
  <c r="N22" i="10"/>
  <c r="E23" i="10"/>
  <c r="N23" i="10" s="1"/>
  <c r="E24" i="10"/>
  <c r="N24" i="10" s="1"/>
  <c r="E25" i="10"/>
  <c r="N25" i="10"/>
  <c r="E26" i="10"/>
  <c r="N26" i="10"/>
  <c r="E27" i="10"/>
  <c r="N27" i="10" s="1"/>
  <c r="E28" i="10"/>
  <c r="N28" i="10" s="1"/>
  <c r="E29" i="10"/>
  <c r="N29" i="10"/>
  <c r="E30" i="10"/>
  <c r="N30" i="10"/>
  <c r="E31" i="10"/>
  <c r="N31" i="10" s="1"/>
  <c r="E32" i="10"/>
  <c r="N32" i="10" s="1"/>
  <c r="E33" i="10"/>
  <c r="N33" i="10"/>
  <c r="E34" i="10"/>
  <c r="N34" i="10"/>
  <c r="E35" i="10"/>
  <c r="N35" i="10" s="1"/>
  <c r="E36" i="10"/>
  <c r="N36" i="10" s="1"/>
  <c r="E37" i="10"/>
  <c r="N37" i="10"/>
  <c r="E38" i="10"/>
  <c r="N38" i="10"/>
  <c r="E39" i="10"/>
  <c r="N39" i="10" s="1"/>
  <c r="E40" i="10"/>
  <c r="N40" i="10" s="1"/>
  <c r="E41" i="10"/>
  <c r="N41" i="10"/>
  <c r="E42" i="10"/>
  <c r="N42" i="10"/>
  <c r="E43" i="10"/>
  <c r="N43" i="10" s="1"/>
  <c r="E44" i="10"/>
  <c r="N44" i="10" s="1"/>
  <c r="E45" i="10"/>
  <c r="N45" i="10"/>
  <c r="E46" i="10"/>
  <c r="N46" i="10"/>
  <c r="E47" i="10"/>
  <c r="N47" i="10" s="1"/>
  <c r="E48" i="10"/>
  <c r="N48" i="10" s="1"/>
  <c r="E49" i="10"/>
  <c r="E50" i="10"/>
  <c r="E51" i="10"/>
  <c r="N51" i="10"/>
  <c r="E52" i="10"/>
  <c r="N52" i="10" s="1"/>
  <c r="E53" i="10"/>
  <c r="N53" i="10" s="1"/>
  <c r="E54" i="10"/>
  <c r="N54" i="10"/>
  <c r="E55" i="10"/>
  <c r="N55" i="10"/>
  <c r="E56" i="10"/>
  <c r="N56" i="10" s="1"/>
  <c r="E57" i="10"/>
  <c r="N57" i="10" s="1"/>
  <c r="E58" i="10"/>
  <c r="N58" i="10"/>
  <c r="E59" i="10"/>
  <c r="N59" i="10"/>
  <c r="E60" i="10"/>
  <c r="N60" i="10" s="1"/>
  <c r="E61" i="10"/>
  <c r="N61" i="10" s="1"/>
  <c r="E62" i="10"/>
  <c r="N62" i="10"/>
  <c r="E63" i="10"/>
  <c r="N63" i="10"/>
  <c r="E64" i="10"/>
  <c r="N64" i="10" s="1"/>
  <c r="E65" i="10"/>
  <c r="N65" i="10" s="1"/>
  <c r="E66" i="10"/>
  <c r="E67" i="10"/>
  <c r="N67" i="10"/>
  <c r="E68" i="10"/>
  <c r="N68" i="10"/>
  <c r="E69" i="10"/>
  <c r="N69" i="10" s="1"/>
  <c r="E70" i="10"/>
  <c r="N70" i="10" s="1"/>
  <c r="E71" i="10"/>
  <c r="N71" i="10"/>
  <c r="E72" i="10"/>
  <c r="N72" i="10"/>
  <c r="E73" i="10"/>
  <c r="N73" i="10" s="1"/>
  <c r="E74" i="10"/>
  <c r="N74" i="10" s="1"/>
  <c r="E75" i="10"/>
  <c r="N75" i="10"/>
  <c r="E76" i="10"/>
  <c r="N76" i="10"/>
  <c r="E77" i="10"/>
  <c r="N77" i="10" s="1"/>
  <c r="E78" i="10"/>
  <c r="N78" i="10" s="1"/>
  <c r="E79" i="10"/>
  <c r="N79" i="10"/>
  <c r="E80" i="10"/>
  <c r="N80" i="10"/>
  <c r="E81" i="10"/>
  <c r="N81" i="10" s="1"/>
  <c r="E82" i="10"/>
  <c r="N82" i="10" s="1"/>
  <c r="E83" i="10"/>
  <c r="N83" i="10"/>
  <c r="E84" i="10"/>
  <c r="N84" i="10"/>
  <c r="E85" i="10"/>
  <c r="N85" i="10" s="1"/>
  <c r="E86" i="10"/>
  <c r="N86" i="10" s="1"/>
  <c r="E87" i="10"/>
  <c r="N87" i="10"/>
  <c r="E88" i="10"/>
  <c r="N88" i="10"/>
  <c r="E89" i="10"/>
  <c r="N89" i="10" s="1"/>
  <c r="E90" i="10"/>
  <c r="N90" i="10" s="1"/>
  <c r="E91" i="10"/>
  <c r="N91" i="10" s="1"/>
  <c r="E92" i="10"/>
  <c r="N92" i="10"/>
  <c r="E93" i="10"/>
  <c r="E94" i="10"/>
  <c r="N94" i="10" s="1"/>
  <c r="E95" i="10"/>
  <c r="N95" i="10" s="1"/>
  <c r="E96" i="10"/>
  <c r="M96" i="10" s="1"/>
  <c r="E97" i="10"/>
  <c r="M97" i="10"/>
  <c r="N97" i="10"/>
  <c r="E98" i="10"/>
  <c r="M98" i="10" s="1"/>
  <c r="N98" i="10"/>
  <c r="E99" i="10"/>
  <c r="M99" i="10" s="1"/>
  <c r="N99" i="10"/>
  <c r="E100" i="10"/>
  <c r="N100" i="10" s="1"/>
  <c r="M100" i="10"/>
  <c r="E101" i="10"/>
  <c r="M101" i="10"/>
  <c r="N101" i="10"/>
  <c r="E102" i="10"/>
  <c r="M102" i="10"/>
  <c r="N102" i="10"/>
  <c r="E103" i="10"/>
  <c r="M103" i="10" s="1"/>
  <c r="E3" i="9"/>
  <c r="M3" i="9" s="1"/>
  <c r="E4" i="9"/>
  <c r="M4" i="9"/>
  <c r="N4" i="9"/>
  <c r="E5" i="9"/>
  <c r="M5" i="9" s="1"/>
  <c r="B6" i="9"/>
  <c r="E6" i="9"/>
  <c r="M6" i="9" s="1"/>
  <c r="N6" i="9"/>
  <c r="B7" i="9"/>
  <c r="E7" i="9"/>
  <c r="M7" i="9" s="1"/>
  <c r="B8" i="9"/>
  <c r="E8" i="9"/>
  <c r="M8" i="9" s="1"/>
  <c r="E9" i="9"/>
  <c r="M9" i="9"/>
  <c r="N9" i="9"/>
  <c r="E10" i="9"/>
  <c r="M10" i="9" s="1"/>
  <c r="N10" i="9"/>
  <c r="E11" i="9"/>
  <c r="M11" i="9" s="1"/>
  <c r="N11" i="9"/>
  <c r="E12" i="9"/>
  <c r="N12" i="9" s="1"/>
  <c r="M12" i="9"/>
  <c r="E13" i="9"/>
  <c r="N13" i="9" s="1"/>
  <c r="M13" i="9"/>
  <c r="E14" i="9"/>
  <c r="M14" i="9"/>
  <c r="N14" i="9"/>
  <c r="E15" i="9"/>
  <c r="M15" i="9" s="1"/>
  <c r="E16" i="9"/>
  <c r="M16" i="9" s="1"/>
  <c r="E17" i="9"/>
  <c r="M17" i="9"/>
  <c r="N17" i="9"/>
  <c r="E18" i="9"/>
  <c r="M18" i="9" s="1"/>
  <c r="N18" i="9"/>
  <c r="E19" i="9"/>
  <c r="M19" i="9" s="1"/>
  <c r="N19" i="9"/>
  <c r="E20" i="9"/>
  <c r="N20" i="9" s="1"/>
  <c r="M20" i="9"/>
  <c r="E21" i="9"/>
  <c r="N21" i="9" s="1"/>
  <c r="M21" i="9"/>
  <c r="E22" i="9"/>
  <c r="M22" i="9"/>
  <c r="N22" i="9"/>
  <c r="E23" i="9"/>
  <c r="M23" i="9" s="1"/>
  <c r="E24" i="9"/>
  <c r="M24" i="9" s="1"/>
  <c r="E25" i="9"/>
  <c r="M25" i="9"/>
  <c r="N25" i="9"/>
  <c r="E26" i="9"/>
  <c r="M26" i="9" s="1"/>
  <c r="N26" i="9"/>
  <c r="E27" i="9"/>
  <c r="M27" i="9" s="1"/>
  <c r="N27" i="9"/>
  <c r="E28" i="9"/>
  <c r="N28" i="9" s="1"/>
  <c r="M28" i="9"/>
  <c r="E29" i="9"/>
  <c r="N29" i="9" s="1"/>
  <c r="M29" i="9"/>
  <c r="E30" i="9"/>
  <c r="M30" i="9"/>
  <c r="N30" i="9"/>
  <c r="E31" i="9"/>
  <c r="M31" i="9" s="1"/>
  <c r="E32" i="9"/>
  <c r="M32" i="9" s="1"/>
  <c r="E33" i="9"/>
  <c r="M33" i="9"/>
  <c r="N33" i="9"/>
  <c r="E34" i="9"/>
  <c r="M34" i="9" s="1"/>
  <c r="N34" i="9"/>
  <c r="E35" i="9"/>
  <c r="M35" i="9" s="1"/>
  <c r="N35" i="9"/>
  <c r="E36" i="9"/>
  <c r="N36" i="9" s="1"/>
  <c r="M36" i="9"/>
  <c r="E37" i="9"/>
  <c r="N37" i="9" s="1"/>
  <c r="M37" i="9"/>
  <c r="E38" i="9"/>
  <c r="M38" i="9"/>
  <c r="N38" i="9"/>
  <c r="E39" i="9"/>
  <c r="M39" i="9" s="1"/>
  <c r="E40" i="9"/>
  <c r="M40" i="9" s="1"/>
  <c r="E41" i="9"/>
  <c r="M41" i="9"/>
  <c r="N41" i="9"/>
  <c r="E42" i="9"/>
  <c r="M42" i="9" s="1"/>
  <c r="N42" i="9"/>
  <c r="E43" i="9"/>
  <c r="M43" i="9" s="1"/>
  <c r="N43" i="9"/>
  <c r="E44" i="9"/>
  <c r="N44" i="9" s="1"/>
  <c r="M44" i="9"/>
  <c r="E45" i="9"/>
  <c r="N45" i="9" s="1"/>
  <c r="M45" i="9"/>
  <c r="E46" i="9"/>
  <c r="M46" i="9"/>
  <c r="N46" i="9"/>
  <c r="E47" i="9"/>
  <c r="M47" i="9" s="1"/>
  <c r="E48" i="9"/>
  <c r="M48" i="9" s="1"/>
  <c r="E49" i="9"/>
  <c r="M49" i="9"/>
  <c r="N49" i="9"/>
  <c r="E50" i="9"/>
  <c r="M50" i="9" s="1"/>
  <c r="N50" i="9"/>
  <c r="E51" i="9"/>
  <c r="M51" i="9" s="1"/>
  <c r="N51" i="9"/>
  <c r="E52" i="9"/>
  <c r="N52" i="9" s="1"/>
  <c r="M52" i="9"/>
  <c r="E53" i="9"/>
  <c r="N53" i="9" s="1"/>
  <c r="M53" i="9"/>
  <c r="E54" i="9"/>
  <c r="M54" i="9"/>
  <c r="N54" i="9"/>
  <c r="E55" i="9"/>
  <c r="M55" i="9" s="1"/>
  <c r="E56" i="9"/>
  <c r="M56" i="9" s="1"/>
  <c r="E57" i="9"/>
  <c r="M57" i="9"/>
  <c r="N57" i="9"/>
  <c r="E58" i="9"/>
  <c r="M58" i="9" s="1"/>
  <c r="N58" i="9"/>
  <c r="E59" i="9"/>
  <c r="M59" i="9" s="1"/>
  <c r="N59" i="9"/>
  <c r="E60" i="9"/>
  <c r="N60" i="9" s="1"/>
  <c r="M60" i="9"/>
  <c r="E61" i="9"/>
  <c r="N61" i="9" s="1"/>
  <c r="M61" i="9"/>
  <c r="E62" i="9"/>
  <c r="M62" i="9"/>
  <c r="N62" i="9"/>
  <c r="E63" i="9"/>
  <c r="M63" i="9" s="1"/>
  <c r="E64" i="9"/>
  <c r="M64" i="9" s="1"/>
  <c r="E65" i="9"/>
  <c r="M65" i="9"/>
  <c r="N65" i="9"/>
  <c r="E66" i="9"/>
  <c r="M66" i="9" s="1"/>
  <c r="N66" i="9"/>
  <c r="E67" i="9"/>
  <c r="M67" i="9" s="1"/>
  <c r="N67" i="9"/>
  <c r="E68" i="9"/>
  <c r="N68" i="9" s="1"/>
  <c r="M68" i="9"/>
  <c r="E69" i="9"/>
  <c r="N69" i="9" s="1"/>
  <c r="M69" i="9"/>
  <c r="E70" i="9"/>
  <c r="M70" i="9"/>
  <c r="N70" i="9"/>
  <c r="E71" i="9"/>
  <c r="M71" i="9" s="1"/>
  <c r="E72" i="9"/>
  <c r="M72" i="9" s="1"/>
  <c r="E73" i="9"/>
  <c r="M73" i="9"/>
  <c r="N73" i="9"/>
  <c r="E74" i="9"/>
  <c r="M74" i="9" s="1"/>
  <c r="N74" i="9"/>
  <c r="E75" i="9"/>
  <c r="M75" i="9" s="1"/>
  <c r="N75" i="9"/>
  <c r="E76" i="9"/>
  <c r="N76" i="9" s="1"/>
  <c r="M76" i="9"/>
  <c r="E77" i="9"/>
  <c r="N77" i="9" s="1"/>
  <c r="M77" i="9"/>
  <c r="E78" i="9"/>
  <c r="M78" i="9"/>
  <c r="N78" i="9"/>
  <c r="E79" i="9"/>
  <c r="M79" i="9" s="1"/>
  <c r="E80" i="9"/>
  <c r="M80" i="9" s="1"/>
  <c r="E81" i="9"/>
  <c r="N81" i="9"/>
  <c r="E82" i="9"/>
  <c r="N82" i="9" s="1"/>
  <c r="E83" i="9"/>
  <c r="N83" i="9" s="1"/>
  <c r="E84" i="9"/>
  <c r="N84" i="9" s="1"/>
  <c r="E85" i="9"/>
  <c r="N85" i="9"/>
  <c r="E86" i="9"/>
  <c r="N86" i="9"/>
  <c r="E87" i="9"/>
  <c r="N87" i="9"/>
  <c r="E88" i="9"/>
  <c r="N88" i="9" s="1"/>
  <c r="E89" i="9"/>
  <c r="N89" i="9"/>
  <c r="E90" i="9"/>
  <c r="N90" i="9"/>
  <c r="E91" i="9"/>
  <c r="N91" i="9"/>
  <c r="E92" i="9"/>
  <c r="N92" i="9" s="1"/>
  <c r="E93" i="9"/>
  <c r="N93" i="9" s="1"/>
  <c r="E94" i="9"/>
  <c r="N94" i="9"/>
  <c r="E95" i="9"/>
  <c r="N95" i="9"/>
  <c r="E96" i="9"/>
  <c r="E97" i="9"/>
  <c r="N97" i="9" s="1"/>
  <c r="E98" i="9"/>
  <c r="N98" i="9" s="1"/>
  <c r="E99" i="9"/>
  <c r="N99" i="9"/>
  <c r="E100" i="9"/>
  <c r="N100" i="9" s="1"/>
  <c r="E101" i="9"/>
  <c r="N101" i="9" s="1"/>
  <c r="E102" i="9"/>
  <c r="N102" i="9"/>
  <c r="E103" i="9"/>
  <c r="N103" i="9" s="1"/>
  <c r="N79" i="9" l="1"/>
  <c r="N71" i="9"/>
  <c r="N63" i="9"/>
  <c r="N55" i="9"/>
  <c r="N47" i="9"/>
  <c r="N39" i="9"/>
  <c r="N31" i="9"/>
  <c r="N23" i="9"/>
  <c r="N15" i="9"/>
  <c r="N5" i="9"/>
  <c r="N103" i="10"/>
  <c r="N19" i="10"/>
  <c r="N15" i="10"/>
  <c r="N11" i="10"/>
  <c r="N5" i="10"/>
  <c r="N7" i="9"/>
  <c r="N80" i="9"/>
  <c r="N72" i="9"/>
  <c r="N64" i="9"/>
  <c r="N56" i="9"/>
  <c r="N48" i="9"/>
  <c r="N40" i="9"/>
  <c r="N32" i="9"/>
  <c r="N24" i="9"/>
  <c r="N16" i="9"/>
  <c r="N8" i="9"/>
  <c r="N3" i="9"/>
  <c r="N96" i="10"/>
  <c r="N6" i="10"/>
  <c r="N20" i="10"/>
  <c r="N16" i="10"/>
  <c r="N12" i="10"/>
  <c r="N8" i="10"/>
  <c r="M93" i="10"/>
  <c r="M66" i="10"/>
  <c r="M92" i="10"/>
  <c r="M88" i="10"/>
  <c r="M86" i="10"/>
  <c r="M84" i="10"/>
  <c r="M82" i="10"/>
  <c r="M80" i="10"/>
  <c r="M78" i="10"/>
  <c r="M76" i="10"/>
  <c r="M74" i="10"/>
  <c r="M72" i="10"/>
  <c r="M70" i="10"/>
  <c r="M68" i="10"/>
  <c r="M67" i="10"/>
  <c r="N93" i="10"/>
  <c r="M91" i="10"/>
  <c r="N66" i="10"/>
  <c r="M64" i="10"/>
  <c r="M95" i="10"/>
  <c r="M94" i="10"/>
  <c r="M90" i="10"/>
  <c r="M87" i="10"/>
  <c r="M85" i="10"/>
  <c r="M83" i="10"/>
  <c r="M81" i="10"/>
  <c r="M79" i="10"/>
  <c r="M77" i="10"/>
  <c r="M75" i="10"/>
  <c r="M73" i="10"/>
  <c r="M71" i="10"/>
  <c r="M69" i="10"/>
  <c r="M65" i="10"/>
  <c r="M89" i="10"/>
  <c r="M50" i="10"/>
  <c r="M30" i="10"/>
  <c r="M49" i="10"/>
  <c r="M46" i="10"/>
  <c r="M44" i="10"/>
  <c r="M42" i="10"/>
  <c r="M40" i="10"/>
  <c r="M38" i="10"/>
  <c r="M36" i="10"/>
  <c r="M34" i="10"/>
  <c r="M32" i="10"/>
  <c r="M63" i="10"/>
  <c r="M62" i="10"/>
  <c r="M61" i="10"/>
  <c r="M60" i="10"/>
  <c r="M59" i="10"/>
  <c r="M58" i="10"/>
  <c r="M57" i="10"/>
  <c r="M56" i="10"/>
  <c r="M55" i="10"/>
  <c r="M54" i="10"/>
  <c r="M53" i="10"/>
  <c r="M52" i="10"/>
  <c r="N50" i="10"/>
  <c r="M48" i="10"/>
  <c r="M51" i="10"/>
  <c r="N49" i="10"/>
  <c r="M47" i="10"/>
  <c r="M45" i="10"/>
  <c r="M43" i="10"/>
  <c r="M41" i="10"/>
  <c r="M39" i="10"/>
  <c r="M37" i="10"/>
  <c r="M35" i="10"/>
  <c r="M33" i="10"/>
  <c r="M28" i="10"/>
  <c r="M26" i="10"/>
  <c r="M24" i="10"/>
  <c r="M22" i="10"/>
  <c r="M31" i="10"/>
  <c r="M29" i="10"/>
  <c r="M27" i="10"/>
  <c r="M25" i="10"/>
  <c r="M23" i="10"/>
  <c r="B5" i="10"/>
  <c r="F3" i="10" s="1"/>
  <c r="M96" i="9"/>
  <c r="M103" i="9"/>
  <c r="M99" i="9"/>
  <c r="M95" i="9"/>
  <c r="M91" i="9"/>
  <c r="M89" i="9"/>
  <c r="M87" i="9"/>
  <c r="M85" i="9"/>
  <c r="M81" i="9"/>
  <c r="M102" i="9"/>
  <c r="M98" i="9"/>
  <c r="N96" i="9"/>
  <c r="M94" i="9"/>
  <c r="M90" i="9"/>
  <c r="M82" i="9"/>
  <c r="M101" i="9"/>
  <c r="M97" i="9"/>
  <c r="M93" i="9"/>
  <c r="M88" i="9"/>
  <c r="M86" i="9"/>
  <c r="M84" i="9"/>
  <c r="M83" i="9"/>
  <c r="M100" i="9"/>
  <c r="M92" i="9"/>
  <c r="B5" i="9"/>
  <c r="F3" i="9" s="1"/>
  <c r="H3" i="9" s="1"/>
  <c r="H3" i="10" l="1"/>
  <c r="O3" i="10" s="1"/>
  <c r="I3" i="10" s="1"/>
  <c r="P3" i="10" s="1"/>
  <c r="O3" i="9"/>
  <c r="I3" i="9" s="1"/>
  <c r="P3" i="9" s="1"/>
  <c r="J3" i="9" l="1"/>
  <c r="Q3" i="9" s="1"/>
  <c r="J3" i="10"/>
  <c r="Q3" i="10" s="1"/>
  <c r="K3" i="10" s="1"/>
  <c r="K3" i="9" l="1"/>
  <c r="G3" i="9" s="1"/>
  <c r="F4" i="9" s="1"/>
  <c r="G3" i="10"/>
  <c r="F4" i="10" s="1"/>
  <c r="H4" i="9" l="1"/>
  <c r="O4" i="9" s="1"/>
  <c r="I4" i="9" s="1"/>
  <c r="P4" i="9" s="1"/>
  <c r="F4" i="11"/>
  <c r="H4" i="11" s="1"/>
  <c r="G4" i="11"/>
  <c r="H4" i="10"/>
  <c r="O4" i="10" s="1"/>
  <c r="I4" i="10" s="1"/>
  <c r="P4" i="10" s="1"/>
  <c r="J4" i="10" s="1"/>
  <c r="J4" i="9" l="1"/>
  <c r="Q4" i="9" s="1"/>
  <c r="K4" i="9" s="1"/>
  <c r="Q4" i="10"/>
  <c r="K4" i="10" s="1"/>
  <c r="G4" i="10" s="1"/>
  <c r="F5" i="10" s="1"/>
  <c r="G4" i="9" l="1"/>
  <c r="F5" i="9" s="1"/>
  <c r="H5" i="9" s="1"/>
  <c r="O5" i="9" s="1"/>
  <c r="H5" i="10"/>
  <c r="O5" i="10" s="1"/>
  <c r="I5" i="10" s="1"/>
  <c r="F5" i="11" l="1"/>
  <c r="H5" i="11" s="1"/>
  <c r="G5" i="11"/>
  <c r="I5" i="9"/>
  <c r="P5" i="9" s="1"/>
  <c r="P5" i="10"/>
  <c r="J5" i="9" l="1"/>
  <c r="Q5" i="9" s="1"/>
  <c r="K5" i="9" s="1"/>
  <c r="J5" i="10"/>
  <c r="G5" i="9" l="1"/>
  <c r="F6" i="9" s="1"/>
  <c r="H6" i="9" s="1"/>
  <c r="O6" i="9" s="1"/>
  <c r="Q5" i="10"/>
  <c r="K5" i="10" s="1"/>
  <c r="G5" i="10" s="1"/>
  <c r="F6" i="10" s="1"/>
  <c r="I6" i="9" l="1"/>
  <c r="H6" i="10"/>
  <c r="O6" i="10" s="1"/>
  <c r="I6" i="10" s="1"/>
  <c r="G6" i="11"/>
  <c r="F6" i="11"/>
  <c r="H6" i="11" s="1"/>
  <c r="P6" i="9" l="1"/>
  <c r="P6" i="10"/>
  <c r="J6" i="9" l="1"/>
  <c r="J6" i="10"/>
  <c r="Q6" i="9" l="1"/>
  <c r="K6" i="9" s="1"/>
  <c r="G6" i="9" s="1"/>
  <c r="F7" i="9" s="1"/>
  <c r="H7" i="9" s="1"/>
  <c r="O7" i="9" s="1"/>
  <c r="Q6" i="10"/>
  <c r="K6" i="10" s="1"/>
  <c r="G6" i="10" s="1"/>
  <c r="F7" i="10" s="1"/>
  <c r="I7" i="9" l="1"/>
  <c r="H7" i="10"/>
  <c r="O7" i="10" s="1"/>
  <c r="I7" i="10" s="1"/>
  <c r="G7" i="11"/>
  <c r="F7" i="11"/>
  <c r="H7" i="11" s="1"/>
  <c r="P7" i="9" l="1"/>
  <c r="P7" i="10"/>
  <c r="J7" i="9" l="1"/>
  <c r="J7" i="10"/>
  <c r="Q7" i="9" l="1"/>
  <c r="K7" i="9" s="1"/>
  <c r="G7" i="9" s="1"/>
  <c r="F8" i="9" s="1"/>
  <c r="H8" i="9" s="1"/>
  <c r="O8" i="9" s="1"/>
  <c r="Q7" i="10"/>
  <c r="K7" i="10" s="1"/>
  <c r="G7" i="10" s="1"/>
  <c r="F8" i="10" s="1"/>
  <c r="I8" i="9" l="1"/>
  <c r="H8" i="10"/>
  <c r="O8" i="10" s="1"/>
  <c r="I8" i="10" s="1"/>
  <c r="G8" i="11"/>
  <c r="F8" i="11"/>
  <c r="H8" i="11" s="1"/>
  <c r="P8" i="9" l="1"/>
  <c r="P8" i="10"/>
  <c r="J8" i="9" l="1"/>
  <c r="J8" i="10"/>
  <c r="Q8" i="9" l="1"/>
  <c r="K8" i="9" s="1"/>
  <c r="G8" i="9" s="1"/>
  <c r="F9" i="9" s="1"/>
  <c r="H9" i="9" s="1"/>
  <c r="O9" i="9" s="1"/>
  <c r="Q8" i="10"/>
  <c r="K8" i="10" s="1"/>
  <c r="G8" i="10" s="1"/>
  <c r="F9" i="10" s="1"/>
  <c r="I9" i="9" l="1"/>
  <c r="H9" i="10"/>
  <c r="O9" i="10" s="1"/>
  <c r="I9" i="10" s="1"/>
  <c r="G9" i="11"/>
  <c r="F9" i="11"/>
  <c r="H9" i="11" s="1"/>
  <c r="P9" i="9" l="1"/>
  <c r="P9" i="10"/>
  <c r="J9" i="9" l="1"/>
  <c r="J9" i="10"/>
  <c r="Q9" i="10" s="1"/>
  <c r="K9" i="10" s="1"/>
  <c r="Q9" i="9" l="1"/>
  <c r="K9" i="9" s="1"/>
  <c r="G9" i="9" s="1"/>
  <c r="F10" i="9" s="1"/>
  <c r="H10" i="9" s="1"/>
  <c r="O10" i="9" s="1"/>
  <c r="G9" i="10"/>
  <c r="F10" i="10" s="1"/>
  <c r="I10" i="9" l="1"/>
  <c r="H10" i="10"/>
  <c r="O10" i="10" s="1"/>
  <c r="I10" i="10" s="1"/>
  <c r="G10" i="11"/>
  <c r="F10" i="11"/>
  <c r="H10" i="11" s="1"/>
  <c r="P10" i="9" l="1"/>
  <c r="P10" i="10"/>
  <c r="J10" i="9" l="1"/>
  <c r="J10" i="10"/>
  <c r="Q10" i="9" l="1"/>
  <c r="K10" i="9" s="1"/>
  <c r="G10" i="9" s="1"/>
  <c r="F11" i="9" s="1"/>
  <c r="H11" i="9" s="1"/>
  <c r="O11" i="9" s="1"/>
  <c r="Q10" i="10"/>
  <c r="K10" i="10" s="1"/>
  <c r="G10" i="10" s="1"/>
  <c r="F11" i="10" s="1"/>
  <c r="I11" i="9" l="1"/>
  <c r="H11" i="10"/>
  <c r="O11" i="10" s="1"/>
  <c r="I11" i="10" s="1"/>
  <c r="G11" i="11"/>
  <c r="F11" i="11"/>
  <c r="H11" i="11" s="1"/>
  <c r="P11" i="9" l="1"/>
  <c r="P11" i="10"/>
  <c r="J11" i="9" l="1"/>
  <c r="J11" i="10"/>
  <c r="Q11" i="9" l="1"/>
  <c r="K11" i="9" s="1"/>
  <c r="G11" i="9" s="1"/>
  <c r="F12" i="9" s="1"/>
  <c r="H12" i="9" s="1"/>
  <c r="O12" i="9" s="1"/>
  <c r="Q11" i="10"/>
  <c r="K11" i="10" s="1"/>
  <c r="G11" i="10" s="1"/>
  <c r="F12" i="10" s="1"/>
  <c r="I12" i="9" l="1"/>
  <c r="H12" i="10"/>
  <c r="O12" i="10" s="1"/>
  <c r="I12" i="10" s="1"/>
  <c r="G12" i="11"/>
  <c r="F12" i="11"/>
  <c r="H12" i="11" s="1"/>
  <c r="P12" i="9" l="1"/>
  <c r="P12" i="10"/>
  <c r="J12" i="9" l="1"/>
  <c r="J12" i="10"/>
  <c r="Q12" i="9" l="1"/>
  <c r="K12" i="9" s="1"/>
  <c r="G12" i="9" s="1"/>
  <c r="F13" i="9" s="1"/>
  <c r="H13" i="9" s="1"/>
  <c r="O13" i="9" s="1"/>
  <c r="Q12" i="10"/>
  <c r="K12" i="10" s="1"/>
  <c r="G12" i="10" s="1"/>
  <c r="F13" i="10" s="1"/>
  <c r="I13" i="9" l="1"/>
  <c r="H13" i="10"/>
  <c r="O13" i="10" s="1"/>
  <c r="I13" i="10" s="1"/>
  <c r="G13" i="11"/>
  <c r="F13" i="11"/>
  <c r="H13" i="11" s="1"/>
  <c r="P13" i="9" l="1"/>
  <c r="P13" i="10"/>
  <c r="J13" i="9" l="1"/>
  <c r="J13" i="10"/>
  <c r="Q13" i="9" l="1"/>
  <c r="K13" i="9" s="1"/>
  <c r="G13" i="9" s="1"/>
  <c r="F14" i="9" s="1"/>
  <c r="H14" i="9" s="1"/>
  <c r="O14" i="9" s="1"/>
  <c r="Q13" i="10"/>
  <c r="K13" i="10" s="1"/>
  <c r="G13" i="10" s="1"/>
  <c r="F14" i="10" s="1"/>
  <c r="I14" i="9" l="1"/>
  <c r="H14" i="10"/>
  <c r="O14" i="10" s="1"/>
  <c r="I14" i="10" s="1"/>
  <c r="G14" i="11"/>
  <c r="F14" i="11"/>
  <c r="H14" i="11" s="1"/>
  <c r="P14" i="9" l="1"/>
  <c r="P14" i="10"/>
  <c r="J14" i="9" l="1"/>
  <c r="J14" i="10"/>
  <c r="Q14" i="9" l="1"/>
  <c r="K14" i="9" s="1"/>
  <c r="G14" i="9" s="1"/>
  <c r="F15" i="9" s="1"/>
  <c r="H15" i="9" s="1"/>
  <c r="O15" i="9" s="1"/>
  <c r="Q14" i="10"/>
  <c r="K14" i="10" s="1"/>
  <c r="G14" i="10" s="1"/>
  <c r="F15" i="10" s="1"/>
  <c r="I15" i="9" l="1"/>
  <c r="H15" i="10"/>
  <c r="O15" i="10" s="1"/>
  <c r="I15" i="10" s="1"/>
  <c r="G15" i="11"/>
  <c r="F15" i="11"/>
  <c r="H15" i="11" s="1"/>
  <c r="P15" i="9" l="1"/>
  <c r="P15" i="10"/>
  <c r="J15" i="9" l="1"/>
  <c r="J15" i="10"/>
  <c r="Q15" i="9" l="1"/>
  <c r="K15" i="9" s="1"/>
  <c r="G15" i="9" s="1"/>
  <c r="F16" i="9" s="1"/>
  <c r="H16" i="9" s="1"/>
  <c r="O16" i="9" s="1"/>
  <c r="Q15" i="10"/>
  <c r="K15" i="10" s="1"/>
  <c r="G15" i="10" s="1"/>
  <c r="F16" i="10" s="1"/>
  <c r="I16" i="9" l="1"/>
  <c r="H16" i="10"/>
  <c r="O16" i="10" s="1"/>
  <c r="I16" i="10" s="1"/>
  <c r="G16" i="11"/>
  <c r="F16" i="11"/>
  <c r="H16" i="11" s="1"/>
  <c r="P16" i="9" l="1"/>
  <c r="P16" i="10"/>
  <c r="J16" i="9" l="1"/>
  <c r="J16" i="10"/>
  <c r="Q16" i="9" l="1"/>
  <c r="K16" i="9" s="1"/>
  <c r="G16" i="9" s="1"/>
  <c r="F17" i="9" s="1"/>
  <c r="H17" i="9" s="1"/>
  <c r="O17" i="9" s="1"/>
  <c r="Q16" i="10"/>
  <c r="K16" i="10" s="1"/>
  <c r="G16" i="10" s="1"/>
  <c r="F17" i="10" s="1"/>
  <c r="I17" i="9" l="1"/>
  <c r="H17" i="10"/>
  <c r="O17" i="10" s="1"/>
  <c r="I17" i="10" s="1"/>
  <c r="G17" i="11"/>
  <c r="F17" i="11"/>
  <c r="H17" i="11" s="1"/>
  <c r="P17" i="9" l="1"/>
  <c r="P17" i="10"/>
  <c r="J17" i="9" l="1"/>
  <c r="J17" i="10"/>
  <c r="Q17" i="9" l="1"/>
  <c r="K17" i="9" s="1"/>
  <c r="G17" i="9" s="1"/>
  <c r="F18" i="9" s="1"/>
  <c r="H18" i="9" s="1"/>
  <c r="O18" i="9" s="1"/>
  <c r="Q17" i="10"/>
  <c r="K17" i="10" s="1"/>
  <c r="G17" i="10" s="1"/>
  <c r="F18" i="10" s="1"/>
  <c r="I18" i="9" l="1"/>
  <c r="H18" i="10"/>
  <c r="O18" i="10" s="1"/>
  <c r="I18" i="10" s="1"/>
  <c r="G18" i="11"/>
  <c r="F18" i="11"/>
  <c r="H18" i="11" s="1"/>
  <c r="P18" i="9" l="1"/>
  <c r="P18" i="10"/>
  <c r="J18" i="9" l="1"/>
  <c r="J18" i="10"/>
  <c r="Q18" i="9" l="1"/>
  <c r="K18" i="9" s="1"/>
  <c r="G18" i="9" s="1"/>
  <c r="F19" i="9" s="1"/>
  <c r="H19" i="9" s="1"/>
  <c r="O19" i="9" s="1"/>
  <c r="Q18" i="10"/>
  <c r="K18" i="10" s="1"/>
  <c r="G18" i="10" s="1"/>
  <c r="F19" i="10" s="1"/>
  <c r="I19" i="9" l="1"/>
  <c r="H19" i="10"/>
  <c r="O19" i="10" s="1"/>
  <c r="I19" i="10" s="1"/>
  <c r="G19" i="11"/>
  <c r="F19" i="11"/>
  <c r="H19" i="11" s="1"/>
  <c r="P19" i="9" l="1"/>
  <c r="P19" i="10"/>
  <c r="J19" i="9" l="1"/>
  <c r="J19" i="10"/>
  <c r="Q19" i="9" l="1"/>
  <c r="K19" i="9" s="1"/>
  <c r="G19" i="9" s="1"/>
  <c r="F20" i="9" s="1"/>
  <c r="H20" i="9" s="1"/>
  <c r="O20" i="9" s="1"/>
  <c r="Q19" i="10"/>
  <c r="K19" i="10" s="1"/>
  <c r="G19" i="10" s="1"/>
  <c r="F20" i="10" s="1"/>
  <c r="I20" i="9" l="1"/>
  <c r="H20" i="10"/>
  <c r="O20" i="10" s="1"/>
  <c r="I20" i="10" s="1"/>
  <c r="G20" i="11"/>
  <c r="F20" i="11"/>
  <c r="H20" i="11" s="1"/>
  <c r="P20" i="9" l="1"/>
  <c r="P20" i="10"/>
  <c r="J20" i="9" l="1"/>
  <c r="J20" i="10"/>
  <c r="Q20" i="9" l="1"/>
  <c r="K20" i="9" s="1"/>
  <c r="G20" i="9" s="1"/>
  <c r="F21" i="9" s="1"/>
  <c r="H21" i="9" s="1"/>
  <c r="O21" i="9" s="1"/>
  <c r="Q20" i="10"/>
  <c r="K20" i="10" s="1"/>
  <c r="G20" i="10" s="1"/>
  <c r="F21" i="10" s="1"/>
  <c r="I21" i="9" l="1"/>
  <c r="H21" i="10"/>
  <c r="O21" i="10" s="1"/>
  <c r="I21" i="10" s="1"/>
  <c r="G21" i="11"/>
  <c r="F21" i="11"/>
  <c r="H21" i="11" s="1"/>
  <c r="P21" i="9" l="1"/>
  <c r="P21" i="10"/>
  <c r="J21" i="9" l="1"/>
  <c r="J21" i="10"/>
  <c r="Q21" i="9" l="1"/>
  <c r="K21" i="9" s="1"/>
  <c r="G21" i="9" s="1"/>
  <c r="F22" i="9" s="1"/>
  <c r="H22" i="9" s="1"/>
  <c r="O22" i="9" s="1"/>
  <c r="Q21" i="10"/>
  <c r="K21" i="10" s="1"/>
  <c r="G21" i="10" s="1"/>
  <c r="F22" i="10" s="1"/>
  <c r="I22" i="9" l="1"/>
  <c r="H22" i="10"/>
  <c r="O22" i="10" s="1"/>
  <c r="I22" i="10" s="1"/>
  <c r="G22" i="11"/>
  <c r="F22" i="11"/>
  <c r="H22" i="11" s="1"/>
  <c r="P22" i="9" l="1"/>
  <c r="P22" i="10"/>
  <c r="J22" i="9" l="1"/>
  <c r="J22" i="10"/>
  <c r="Q22" i="9" l="1"/>
  <c r="K22" i="9" s="1"/>
  <c r="G22" i="9" s="1"/>
  <c r="F23" i="9" s="1"/>
  <c r="H23" i="9" s="1"/>
  <c r="O23" i="9" s="1"/>
  <c r="Q22" i="10"/>
  <c r="K22" i="10" s="1"/>
  <c r="G22" i="10" s="1"/>
  <c r="F23" i="10" s="1"/>
  <c r="I23" i="9" l="1"/>
  <c r="H23" i="10"/>
  <c r="O23" i="10" s="1"/>
  <c r="I23" i="10" s="1"/>
  <c r="G23" i="11"/>
  <c r="F23" i="11"/>
  <c r="H23" i="11" s="1"/>
  <c r="P23" i="9" l="1"/>
  <c r="P23" i="10"/>
  <c r="J23" i="9" l="1"/>
  <c r="J23" i="10"/>
  <c r="Q23" i="9" l="1"/>
  <c r="K23" i="9" s="1"/>
  <c r="G23" i="9" s="1"/>
  <c r="F24" i="9" s="1"/>
  <c r="H24" i="9" s="1"/>
  <c r="O24" i="9" s="1"/>
  <c r="Q23" i="10"/>
  <c r="K23" i="10" s="1"/>
  <c r="G23" i="10" s="1"/>
  <c r="F24" i="10" s="1"/>
  <c r="I24" i="9" l="1"/>
  <c r="H24" i="10"/>
  <c r="O24" i="10" s="1"/>
  <c r="I24" i="10" s="1"/>
  <c r="G24" i="11"/>
  <c r="F24" i="11"/>
  <c r="H24" i="11" s="1"/>
  <c r="P24" i="9" l="1"/>
  <c r="P24" i="10"/>
  <c r="J24" i="9" l="1"/>
  <c r="J24" i="10"/>
  <c r="Q24" i="9" l="1"/>
  <c r="K24" i="9" s="1"/>
  <c r="G24" i="9" s="1"/>
  <c r="F25" i="9" s="1"/>
  <c r="H25" i="9" s="1"/>
  <c r="O25" i="9" s="1"/>
  <c r="Q24" i="10"/>
  <c r="K24" i="10" s="1"/>
  <c r="G24" i="10" s="1"/>
  <c r="F25" i="10" s="1"/>
  <c r="I25" i="9" l="1"/>
  <c r="H25" i="10"/>
  <c r="O25" i="10" s="1"/>
  <c r="I25" i="10" s="1"/>
  <c r="G25" i="11"/>
  <c r="F25" i="11"/>
  <c r="H25" i="11" s="1"/>
  <c r="P25" i="9" l="1"/>
  <c r="P25" i="10"/>
  <c r="J25" i="9" l="1"/>
  <c r="J25" i="10"/>
  <c r="Q25" i="9" l="1"/>
  <c r="K25" i="9" s="1"/>
  <c r="G25" i="9" s="1"/>
  <c r="F26" i="9" s="1"/>
  <c r="H26" i="9" s="1"/>
  <c r="O26" i="9" s="1"/>
  <c r="Q25" i="10"/>
  <c r="K25" i="10" s="1"/>
  <c r="G25" i="10" s="1"/>
  <c r="F26" i="10" s="1"/>
  <c r="I26" i="9" l="1"/>
  <c r="H26" i="10"/>
  <c r="O26" i="10" s="1"/>
  <c r="I26" i="10" s="1"/>
  <c r="G26" i="11"/>
  <c r="F26" i="11"/>
  <c r="H26" i="11" s="1"/>
  <c r="P26" i="9" l="1"/>
  <c r="P26" i="10"/>
  <c r="J26" i="9" l="1"/>
  <c r="J26" i="10"/>
  <c r="Q26" i="9" l="1"/>
  <c r="K26" i="9" s="1"/>
  <c r="G26" i="9" s="1"/>
  <c r="F27" i="9" s="1"/>
  <c r="H27" i="9" s="1"/>
  <c r="O27" i="9" s="1"/>
  <c r="Q26" i="10"/>
  <c r="K26" i="10" s="1"/>
  <c r="G26" i="10" s="1"/>
  <c r="F27" i="10" s="1"/>
  <c r="I27" i="9" l="1"/>
  <c r="H27" i="10"/>
  <c r="O27" i="10" s="1"/>
  <c r="I27" i="10" s="1"/>
  <c r="G27" i="11"/>
  <c r="F27" i="11"/>
  <c r="H27" i="11" s="1"/>
  <c r="P27" i="9" l="1"/>
  <c r="P27" i="10"/>
  <c r="J27" i="9" l="1"/>
  <c r="J27" i="10"/>
  <c r="Q27" i="9" l="1"/>
  <c r="K27" i="9" s="1"/>
  <c r="G27" i="9" s="1"/>
  <c r="F28" i="9" s="1"/>
  <c r="H28" i="9" s="1"/>
  <c r="O28" i="9" s="1"/>
  <c r="Q27" i="10"/>
  <c r="K27" i="10" s="1"/>
  <c r="G27" i="10" s="1"/>
  <c r="F28" i="10" s="1"/>
  <c r="I28" i="9" l="1"/>
  <c r="H28" i="10"/>
  <c r="O28" i="10" s="1"/>
  <c r="I28" i="10" s="1"/>
  <c r="G28" i="11"/>
  <c r="F28" i="11"/>
  <c r="H28" i="11" s="1"/>
  <c r="P28" i="9" l="1"/>
  <c r="P28" i="10"/>
  <c r="J28" i="9" l="1"/>
  <c r="J28" i="10"/>
  <c r="Q28" i="9" l="1"/>
  <c r="K28" i="9" s="1"/>
  <c r="G28" i="9" s="1"/>
  <c r="F29" i="9" s="1"/>
  <c r="H29" i="9" s="1"/>
  <c r="O29" i="9" s="1"/>
  <c r="Q28" i="10"/>
  <c r="K28" i="10" s="1"/>
  <c r="G28" i="10" s="1"/>
  <c r="F29" i="10" s="1"/>
  <c r="I29" i="9" l="1"/>
  <c r="H29" i="10"/>
  <c r="O29" i="10" s="1"/>
  <c r="I29" i="10" s="1"/>
  <c r="G29" i="11"/>
  <c r="F29" i="11"/>
  <c r="H29" i="11" s="1"/>
  <c r="P29" i="9" l="1"/>
  <c r="P29" i="10"/>
  <c r="J29" i="9" l="1"/>
  <c r="J29" i="10"/>
  <c r="Q29" i="9" l="1"/>
  <c r="K29" i="9" s="1"/>
  <c r="G29" i="9" s="1"/>
  <c r="F30" i="9" s="1"/>
  <c r="H30" i="9" s="1"/>
  <c r="O30" i="9" s="1"/>
  <c r="Q29" i="10"/>
  <c r="K29" i="10" s="1"/>
  <c r="G29" i="10" s="1"/>
  <c r="F30" i="10" s="1"/>
  <c r="I30" i="9" l="1"/>
  <c r="H30" i="10"/>
  <c r="O30" i="10" s="1"/>
  <c r="I30" i="10" s="1"/>
  <c r="G30" i="11"/>
  <c r="F30" i="11"/>
  <c r="H30" i="11" s="1"/>
  <c r="P30" i="9" l="1"/>
  <c r="P30" i="10"/>
  <c r="J30" i="9" l="1"/>
  <c r="J30" i="10"/>
  <c r="Q30" i="9" l="1"/>
  <c r="K30" i="9" s="1"/>
  <c r="G30" i="9" s="1"/>
  <c r="F31" i="9" s="1"/>
  <c r="H31" i="9" s="1"/>
  <c r="O31" i="9" s="1"/>
  <c r="Q30" i="10"/>
  <c r="K30" i="10" s="1"/>
  <c r="G30" i="10" s="1"/>
  <c r="F31" i="10" s="1"/>
  <c r="I31" i="9" l="1"/>
  <c r="H31" i="10"/>
  <c r="O31" i="10" s="1"/>
  <c r="I31" i="10" s="1"/>
  <c r="G31" i="11"/>
  <c r="F31" i="11"/>
  <c r="H31" i="11" s="1"/>
  <c r="P31" i="9" l="1"/>
  <c r="P31" i="10"/>
  <c r="J31" i="9" l="1"/>
  <c r="J31" i="10"/>
  <c r="Q31" i="9" l="1"/>
  <c r="K31" i="9" s="1"/>
  <c r="G31" i="9" s="1"/>
  <c r="F32" i="9" s="1"/>
  <c r="H32" i="9" s="1"/>
  <c r="O32" i="9" s="1"/>
  <c r="Q31" i="10"/>
  <c r="K31" i="10" s="1"/>
  <c r="G31" i="10" s="1"/>
  <c r="F32" i="10" s="1"/>
  <c r="I32" i="9" l="1"/>
  <c r="H32" i="10"/>
  <c r="O32" i="10" s="1"/>
  <c r="I32" i="10" s="1"/>
  <c r="G32" i="11"/>
  <c r="F32" i="11"/>
  <c r="H32" i="11" s="1"/>
  <c r="P32" i="9" l="1"/>
  <c r="P32" i="10"/>
  <c r="J32" i="9" l="1"/>
  <c r="J32" i="10"/>
  <c r="Q32" i="9" l="1"/>
  <c r="K32" i="9" s="1"/>
  <c r="G32" i="9" s="1"/>
  <c r="F33" i="9" s="1"/>
  <c r="H33" i="9" s="1"/>
  <c r="O33" i="9" s="1"/>
  <c r="Q32" i="10"/>
  <c r="K32" i="10" s="1"/>
  <c r="G32" i="10" s="1"/>
  <c r="F33" i="10" s="1"/>
  <c r="I33" i="9" l="1"/>
  <c r="H33" i="10"/>
  <c r="O33" i="10" s="1"/>
  <c r="I33" i="10" s="1"/>
  <c r="G33" i="11"/>
  <c r="F33" i="11"/>
  <c r="H33" i="11" s="1"/>
  <c r="P33" i="9" l="1"/>
  <c r="P33" i="10"/>
  <c r="J33" i="9" l="1"/>
  <c r="J33" i="10"/>
  <c r="Q33" i="9" l="1"/>
  <c r="K33" i="9" s="1"/>
  <c r="G33" i="9" s="1"/>
  <c r="F34" i="9" s="1"/>
  <c r="H34" i="9" s="1"/>
  <c r="O34" i="9" s="1"/>
  <c r="Q33" i="10"/>
  <c r="K33" i="10" s="1"/>
  <c r="G33" i="10" s="1"/>
  <c r="F34" i="10" s="1"/>
  <c r="I34" i="9" l="1"/>
  <c r="H34" i="10"/>
  <c r="O34" i="10" s="1"/>
  <c r="I34" i="10" s="1"/>
  <c r="G34" i="11"/>
  <c r="F34" i="11"/>
  <c r="H34" i="11" s="1"/>
  <c r="P34" i="9" l="1"/>
  <c r="P34" i="10"/>
  <c r="J34" i="9" l="1"/>
  <c r="J34" i="10"/>
  <c r="Q34" i="9" l="1"/>
  <c r="K34" i="9" s="1"/>
  <c r="G34" i="9" s="1"/>
  <c r="F35" i="9" s="1"/>
  <c r="H35" i="9" s="1"/>
  <c r="O35" i="9" s="1"/>
  <c r="Q34" i="10"/>
  <c r="K34" i="10" s="1"/>
  <c r="G34" i="10" s="1"/>
  <c r="F35" i="10" s="1"/>
  <c r="I35" i="9" l="1"/>
  <c r="H35" i="10"/>
  <c r="O35" i="10" s="1"/>
  <c r="I35" i="10" s="1"/>
  <c r="G35" i="11"/>
  <c r="F35" i="11"/>
  <c r="H35" i="11" s="1"/>
  <c r="P35" i="9" l="1"/>
  <c r="P35" i="10"/>
  <c r="J35" i="9" l="1"/>
  <c r="J35" i="10"/>
  <c r="Q35" i="9" l="1"/>
  <c r="K35" i="9" s="1"/>
  <c r="G35" i="9" s="1"/>
  <c r="F36" i="9" s="1"/>
  <c r="H36" i="9" s="1"/>
  <c r="O36" i="9" s="1"/>
  <c r="Q35" i="10"/>
  <c r="K35" i="10" s="1"/>
  <c r="G35" i="10" s="1"/>
  <c r="F36" i="10" s="1"/>
  <c r="I36" i="9" l="1"/>
  <c r="H36" i="10"/>
  <c r="O36" i="10" s="1"/>
  <c r="I36" i="10" s="1"/>
  <c r="G36" i="11"/>
  <c r="F36" i="11"/>
  <c r="H36" i="11" s="1"/>
  <c r="P36" i="9" l="1"/>
  <c r="P36" i="10"/>
  <c r="J36" i="9" l="1"/>
  <c r="J36" i="10"/>
  <c r="Q36" i="9" l="1"/>
  <c r="K36" i="9" s="1"/>
  <c r="G36" i="9" s="1"/>
  <c r="F37" i="9" s="1"/>
  <c r="H37" i="9" s="1"/>
  <c r="O37" i="9" s="1"/>
  <c r="Q36" i="10"/>
  <c r="K36" i="10" s="1"/>
  <c r="G36" i="10" s="1"/>
  <c r="F37" i="10" s="1"/>
  <c r="I37" i="9" l="1"/>
  <c r="H37" i="10"/>
  <c r="O37" i="10" s="1"/>
  <c r="I37" i="10" s="1"/>
  <c r="G37" i="11"/>
  <c r="F37" i="11"/>
  <c r="H37" i="11" s="1"/>
  <c r="P37" i="9" l="1"/>
  <c r="P37" i="10"/>
  <c r="J37" i="9" l="1"/>
  <c r="J37" i="10"/>
  <c r="Q37" i="9" l="1"/>
  <c r="K37" i="9" s="1"/>
  <c r="G37" i="9" s="1"/>
  <c r="F38" i="9" s="1"/>
  <c r="H38" i="9" s="1"/>
  <c r="O38" i="9" s="1"/>
  <c r="Q37" i="10"/>
  <c r="K37" i="10" s="1"/>
  <c r="G37" i="10" s="1"/>
  <c r="F38" i="10" s="1"/>
  <c r="I38" i="9" l="1"/>
  <c r="H38" i="10"/>
  <c r="O38" i="10" s="1"/>
  <c r="I38" i="10" s="1"/>
  <c r="G38" i="11"/>
  <c r="F38" i="11"/>
  <c r="H38" i="11" s="1"/>
  <c r="P38" i="9" l="1"/>
  <c r="P38" i="10"/>
  <c r="J38" i="9" l="1"/>
  <c r="J38" i="10"/>
  <c r="Q38" i="9" l="1"/>
  <c r="K38" i="9" s="1"/>
  <c r="G38" i="9" s="1"/>
  <c r="F39" i="9" s="1"/>
  <c r="H39" i="9" s="1"/>
  <c r="O39" i="9" s="1"/>
  <c r="Q38" i="10"/>
  <c r="K38" i="10" s="1"/>
  <c r="G38" i="10" s="1"/>
  <c r="F39" i="10" s="1"/>
  <c r="I39" i="9" l="1"/>
  <c r="H39" i="10"/>
  <c r="O39" i="10" s="1"/>
  <c r="I39" i="10" s="1"/>
  <c r="G39" i="11"/>
  <c r="F39" i="11"/>
  <c r="H39" i="11" s="1"/>
  <c r="P39" i="9" l="1"/>
  <c r="P39" i="10"/>
  <c r="J39" i="9" l="1"/>
  <c r="J39" i="10"/>
  <c r="Q39" i="9" l="1"/>
  <c r="K39" i="9" s="1"/>
  <c r="G39" i="9" s="1"/>
  <c r="F40" i="9" s="1"/>
  <c r="H40" i="9" s="1"/>
  <c r="O40" i="9" s="1"/>
  <c r="Q39" i="10"/>
  <c r="K39" i="10" s="1"/>
  <c r="G39" i="10" s="1"/>
  <c r="F40" i="10" s="1"/>
  <c r="I40" i="9" l="1"/>
  <c r="H40" i="10"/>
  <c r="O40" i="10" s="1"/>
  <c r="I40" i="10" s="1"/>
  <c r="G40" i="11"/>
  <c r="F40" i="11"/>
  <c r="H40" i="11" s="1"/>
  <c r="P40" i="9" l="1"/>
  <c r="P40" i="10"/>
  <c r="J40" i="9" l="1"/>
  <c r="J40" i="10"/>
  <c r="Q40" i="9" l="1"/>
  <c r="K40" i="9" s="1"/>
  <c r="G40" i="9" s="1"/>
  <c r="F41" i="9" s="1"/>
  <c r="H41" i="9" s="1"/>
  <c r="O41" i="9" s="1"/>
  <c r="Q40" i="10"/>
  <c r="K40" i="10" s="1"/>
  <c r="G40" i="10" s="1"/>
  <c r="F41" i="10" s="1"/>
  <c r="I41" i="9" l="1"/>
  <c r="H41" i="10"/>
  <c r="O41" i="10" s="1"/>
  <c r="I41" i="10" s="1"/>
  <c r="G41" i="11"/>
  <c r="F41" i="11"/>
  <c r="H41" i="11" s="1"/>
  <c r="P41" i="9" l="1"/>
  <c r="P41" i="10"/>
  <c r="J41" i="9" l="1"/>
  <c r="J41" i="10"/>
  <c r="Q41" i="9" l="1"/>
  <c r="K41" i="9" s="1"/>
  <c r="G41" i="9" s="1"/>
  <c r="F42" i="9" s="1"/>
  <c r="H42" i="9" s="1"/>
  <c r="O42" i="9" s="1"/>
  <c r="Q41" i="10"/>
  <c r="K41" i="10" s="1"/>
  <c r="G41" i="10" s="1"/>
  <c r="F42" i="10" s="1"/>
  <c r="I42" i="9" l="1"/>
  <c r="H42" i="10"/>
  <c r="O42" i="10" s="1"/>
  <c r="I42" i="10" s="1"/>
  <c r="G42" i="11"/>
  <c r="F42" i="11"/>
  <c r="H42" i="11" s="1"/>
  <c r="P42" i="9" l="1"/>
  <c r="P42" i="10"/>
  <c r="J42" i="9" l="1"/>
  <c r="J42" i="10"/>
  <c r="Q42" i="9" l="1"/>
  <c r="K42" i="9" s="1"/>
  <c r="G42" i="9" s="1"/>
  <c r="F43" i="9" s="1"/>
  <c r="H43" i="9" s="1"/>
  <c r="O43" i="9" s="1"/>
  <c r="Q42" i="10"/>
  <c r="K42" i="10" s="1"/>
  <c r="G42" i="10" s="1"/>
  <c r="F43" i="10" s="1"/>
  <c r="I43" i="9" l="1"/>
  <c r="H43" i="10"/>
  <c r="O43" i="10" s="1"/>
  <c r="I43" i="10" s="1"/>
  <c r="G43" i="11"/>
  <c r="F43" i="11"/>
  <c r="H43" i="11" s="1"/>
  <c r="P43" i="9" l="1"/>
  <c r="P43" i="10"/>
  <c r="J43" i="9" l="1"/>
  <c r="J43" i="10"/>
  <c r="Q43" i="9" l="1"/>
  <c r="K43" i="9" s="1"/>
  <c r="G43" i="9" s="1"/>
  <c r="F44" i="9" s="1"/>
  <c r="H44" i="9" s="1"/>
  <c r="O44" i="9" s="1"/>
  <c r="Q43" i="10"/>
  <c r="K43" i="10" s="1"/>
  <c r="G43" i="10" s="1"/>
  <c r="F44" i="10" s="1"/>
  <c r="I44" i="9" l="1"/>
  <c r="H44" i="10"/>
  <c r="O44" i="10" s="1"/>
  <c r="I44" i="10" s="1"/>
  <c r="G44" i="11"/>
  <c r="F44" i="11"/>
  <c r="H44" i="11" s="1"/>
  <c r="P44" i="9" l="1"/>
  <c r="P44" i="10"/>
  <c r="J44" i="9" l="1"/>
  <c r="J44" i="10"/>
  <c r="Q44" i="9" l="1"/>
  <c r="K44" i="9" s="1"/>
  <c r="G44" i="9" s="1"/>
  <c r="F45" i="9" s="1"/>
  <c r="H45" i="9" s="1"/>
  <c r="O45" i="9" s="1"/>
  <c r="Q44" i="10"/>
  <c r="K44" i="10" s="1"/>
  <c r="G44" i="10" s="1"/>
  <c r="F45" i="10" s="1"/>
  <c r="I45" i="9" l="1"/>
  <c r="H45" i="10"/>
  <c r="O45" i="10" s="1"/>
  <c r="I45" i="10" s="1"/>
  <c r="G45" i="11"/>
  <c r="F45" i="11"/>
  <c r="H45" i="11" s="1"/>
  <c r="P45" i="9" l="1"/>
  <c r="P45" i="10"/>
  <c r="J45" i="9" l="1"/>
  <c r="J45" i="10"/>
  <c r="Q45" i="9" l="1"/>
  <c r="K45" i="9" s="1"/>
  <c r="G45" i="9" s="1"/>
  <c r="F46" i="9" s="1"/>
  <c r="H46" i="9" s="1"/>
  <c r="O46" i="9" s="1"/>
  <c r="Q45" i="10"/>
  <c r="K45" i="10" s="1"/>
  <c r="G45" i="10" s="1"/>
  <c r="F46" i="10" s="1"/>
  <c r="I46" i="9" l="1"/>
  <c r="H46" i="10"/>
  <c r="O46" i="10" s="1"/>
  <c r="I46" i="10" s="1"/>
  <c r="G46" i="11"/>
  <c r="F46" i="11"/>
  <c r="H46" i="11" s="1"/>
  <c r="P46" i="9" l="1"/>
  <c r="P46" i="10"/>
  <c r="J46" i="9" l="1"/>
  <c r="J46" i="10"/>
  <c r="Q46" i="9" l="1"/>
  <c r="K46" i="9" s="1"/>
  <c r="G46" i="9" s="1"/>
  <c r="F47" i="9" s="1"/>
  <c r="H47" i="9" s="1"/>
  <c r="O47" i="9" s="1"/>
  <c r="Q46" i="10"/>
  <c r="K46" i="10" s="1"/>
  <c r="G46" i="10" s="1"/>
  <c r="F47" i="10" s="1"/>
  <c r="I47" i="9" l="1"/>
  <c r="H47" i="10"/>
  <c r="O47" i="10" s="1"/>
  <c r="I47" i="10" s="1"/>
  <c r="G47" i="11"/>
  <c r="F47" i="11"/>
  <c r="H47" i="11" s="1"/>
  <c r="P47" i="9" l="1"/>
  <c r="P47" i="10"/>
  <c r="J47" i="9" l="1"/>
  <c r="J47" i="10"/>
  <c r="Q47" i="9" l="1"/>
  <c r="K47" i="9" s="1"/>
  <c r="G47" i="9" s="1"/>
  <c r="F48" i="9" s="1"/>
  <c r="H48" i="9" s="1"/>
  <c r="O48" i="9" s="1"/>
  <c r="Q47" i="10"/>
  <c r="K47" i="10" s="1"/>
  <c r="G47" i="10" s="1"/>
  <c r="F48" i="10" s="1"/>
  <c r="I48" i="9" l="1"/>
  <c r="H48" i="10"/>
  <c r="O48" i="10" s="1"/>
  <c r="I48" i="10" s="1"/>
  <c r="G48" i="11"/>
  <c r="F48" i="11"/>
  <c r="H48" i="11" s="1"/>
  <c r="P48" i="9" l="1"/>
  <c r="P48" i="10"/>
  <c r="J48" i="9" l="1"/>
  <c r="J48" i="10"/>
  <c r="Q48" i="9" l="1"/>
  <c r="K48" i="9" s="1"/>
  <c r="G48" i="9" s="1"/>
  <c r="F49" i="9" s="1"/>
  <c r="H49" i="9" s="1"/>
  <c r="O49" i="9" s="1"/>
  <c r="Q48" i="10"/>
  <c r="K48" i="10" s="1"/>
  <c r="G48" i="10" s="1"/>
  <c r="F49" i="10" s="1"/>
  <c r="I49" i="9" l="1"/>
  <c r="H49" i="10"/>
  <c r="O49" i="10" s="1"/>
  <c r="I49" i="10" s="1"/>
  <c r="G49" i="11"/>
  <c r="F49" i="11"/>
  <c r="H49" i="11" s="1"/>
  <c r="P49" i="9" l="1"/>
  <c r="P49" i="10"/>
  <c r="J49" i="9" l="1"/>
  <c r="J49" i="10"/>
  <c r="Q49" i="9" l="1"/>
  <c r="K49" i="9" s="1"/>
  <c r="G49" i="9" s="1"/>
  <c r="F50" i="9" s="1"/>
  <c r="H50" i="9" s="1"/>
  <c r="O50" i="9" s="1"/>
  <c r="Q49" i="10"/>
  <c r="K49" i="10" s="1"/>
  <c r="G49" i="10" s="1"/>
  <c r="F50" i="10" s="1"/>
  <c r="I50" i="9" l="1"/>
  <c r="H50" i="10"/>
  <c r="O50" i="10" s="1"/>
  <c r="I50" i="10" s="1"/>
  <c r="G50" i="11"/>
  <c r="F50" i="11"/>
  <c r="H50" i="11" s="1"/>
  <c r="P50" i="9" l="1"/>
  <c r="P50" i="10"/>
  <c r="J50" i="9" l="1"/>
  <c r="J50" i="10"/>
  <c r="Q50" i="9" l="1"/>
  <c r="K50" i="9" s="1"/>
  <c r="G50" i="9" s="1"/>
  <c r="F51" i="9" s="1"/>
  <c r="H51" i="9" s="1"/>
  <c r="O51" i="9" s="1"/>
  <c r="Q50" i="10"/>
  <c r="K50" i="10" s="1"/>
  <c r="G50" i="10" s="1"/>
  <c r="F51" i="10" s="1"/>
  <c r="I51" i="9" l="1"/>
  <c r="H51" i="10"/>
  <c r="O51" i="10" s="1"/>
  <c r="I51" i="10" s="1"/>
  <c r="G51" i="11"/>
  <c r="F51" i="11"/>
  <c r="H51" i="11" s="1"/>
  <c r="P51" i="9" l="1"/>
  <c r="P51" i="10"/>
  <c r="J51" i="9" l="1"/>
  <c r="J51" i="10"/>
  <c r="Q51" i="9" l="1"/>
  <c r="K51" i="9" s="1"/>
  <c r="G51" i="9" s="1"/>
  <c r="F52" i="9" s="1"/>
  <c r="H52" i="9" s="1"/>
  <c r="O52" i="9" s="1"/>
  <c r="Q51" i="10"/>
  <c r="K51" i="10" s="1"/>
  <c r="G51" i="10" s="1"/>
  <c r="F52" i="10" s="1"/>
  <c r="I52" i="9" l="1"/>
  <c r="H52" i="10"/>
  <c r="O52" i="10" s="1"/>
  <c r="I52" i="10" s="1"/>
  <c r="G52" i="11"/>
  <c r="F52" i="11"/>
  <c r="H52" i="11" s="1"/>
  <c r="P52" i="9" l="1"/>
  <c r="P52" i="10"/>
  <c r="J52" i="9" l="1"/>
  <c r="J52" i="10"/>
  <c r="Q52" i="9" l="1"/>
  <c r="K52" i="9" s="1"/>
  <c r="G52" i="9" s="1"/>
  <c r="F53" i="9" s="1"/>
  <c r="H53" i="9" s="1"/>
  <c r="O53" i="9" s="1"/>
  <c r="Q52" i="10"/>
  <c r="K52" i="10" s="1"/>
  <c r="G52" i="10" s="1"/>
  <c r="F53" i="10" s="1"/>
  <c r="I53" i="9" l="1"/>
  <c r="H53" i="10"/>
  <c r="O53" i="10" s="1"/>
  <c r="I53" i="10" s="1"/>
  <c r="G53" i="11"/>
  <c r="F53" i="11"/>
  <c r="H53" i="11" s="1"/>
  <c r="P53" i="9" l="1"/>
  <c r="P53" i="10"/>
  <c r="J53" i="9" l="1"/>
  <c r="J53" i="10"/>
  <c r="Q53" i="9" l="1"/>
  <c r="K53" i="9" s="1"/>
  <c r="G53" i="9" s="1"/>
  <c r="F54" i="9" s="1"/>
  <c r="H54" i="9" s="1"/>
  <c r="O54" i="9" s="1"/>
  <c r="Q53" i="10"/>
  <c r="K53" i="10" s="1"/>
  <c r="G53" i="10" s="1"/>
  <c r="F54" i="10" s="1"/>
  <c r="I54" i="9" l="1"/>
  <c r="H54" i="10"/>
  <c r="O54" i="10" s="1"/>
  <c r="I54" i="10" s="1"/>
  <c r="G54" i="11"/>
  <c r="F54" i="11"/>
  <c r="H54" i="11" s="1"/>
  <c r="P54" i="9" l="1"/>
  <c r="P54" i="10"/>
  <c r="J54" i="9" l="1"/>
  <c r="J54" i="10"/>
  <c r="Q54" i="9" l="1"/>
  <c r="K54" i="9" s="1"/>
  <c r="G54" i="9" s="1"/>
  <c r="F55" i="9" s="1"/>
  <c r="H55" i="9" s="1"/>
  <c r="O55" i="9" s="1"/>
  <c r="Q54" i="10"/>
  <c r="K54" i="10" s="1"/>
  <c r="G54" i="10" s="1"/>
  <c r="F55" i="10" s="1"/>
  <c r="I55" i="9" l="1"/>
  <c r="H55" i="10"/>
  <c r="O55" i="10" s="1"/>
  <c r="I55" i="10" s="1"/>
  <c r="F55" i="11"/>
  <c r="H55" i="11" s="1"/>
  <c r="G55" i="11"/>
  <c r="P55" i="9" l="1"/>
  <c r="P55" i="10"/>
  <c r="J55" i="9" l="1"/>
  <c r="J55" i="10"/>
  <c r="Q55" i="9" l="1"/>
  <c r="K55" i="9" s="1"/>
  <c r="G55" i="9" s="1"/>
  <c r="F56" i="9" s="1"/>
  <c r="H56" i="9" s="1"/>
  <c r="O56" i="9" s="1"/>
  <c r="Q55" i="10"/>
  <c r="K55" i="10" s="1"/>
  <c r="G55" i="10" s="1"/>
  <c r="F56" i="10" s="1"/>
  <c r="I56" i="9" l="1"/>
  <c r="H56" i="10"/>
  <c r="O56" i="10" s="1"/>
  <c r="I56" i="10" s="1"/>
  <c r="F56" i="11"/>
  <c r="H56" i="11" s="1"/>
  <c r="G56" i="11"/>
  <c r="P56" i="9" l="1"/>
  <c r="P56" i="10"/>
  <c r="J56" i="9" l="1"/>
  <c r="J56" i="10"/>
  <c r="Q56" i="9" l="1"/>
  <c r="K56" i="9" s="1"/>
  <c r="G56" i="9" s="1"/>
  <c r="F57" i="9" s="1"/>
  <c r="H57" i="9" s="1"/>
  <c r="O57" i="9" s="1"/>
  <c r="Q56" i="10"/>
  <c r="K56" i="10" s="1"/>
  <c r="G56" i="10" s="1"/>
  <c r="F57" i="10" s="1"/>
  <c r="I57" i="9" l="1"/>
  <c r="H57" i="10"/>
  <c r="O57" i="10" s="1"/>
  <c r="I57" i="10" s="1"/>
  <c r="F57" i="11"/>
  <c r="H57" i="11" s="1"/>
  <c r="G57" i="11"/>
  <c r="P57" i="9" l="1"/>
  <c r="P57" i="10"/>
  <c r="J57" i="9" l="1"/>
  <c r="J57" i="10"/>
  <c r="Q57" i="9" l="1"/>
  <c r="K57" i="9" s="1"/>
  <c r="G57" i="9" s="1"/>
  <c r="F58" i="9" s="1"/>
  <c r="H58" i="9" s="1"/>
  <c r="O58" i="9" s="1"/>
  <c r="Q57" i="10"/>
  <c r="K57" i="10" s="1"/>
  <c r="G57" i="10" s="1"/>
  <c r="F58" i="10" s="1"/>
  <c r="I58" i="9" l="1"/>
  <c r="H58" i="10"/>
  <c r="O58" i="10" s="1"/>
  <c r="I58" i="10" s="1"/>
  <c r="F58" i="11"/>
  <c r="H58" i="11" s="1"/>
  <c r="G58" i="11"/>
  <c r="P58" i="9" l="1"/>
  <c r="P58" i="10"/>
  <c r="J58" i="9" l="1"/>
  <c r="Q58" i="9" s="1"/>
  <c r="K58" i="9" s="1"/>
  <c r="J58" i="10"/>
  <c r="G58" i="9" l="1"/>
  <c r="F59" i="9" s="1"/>
  <c r="H59" i="9" s="1"/>
  <c r="O59" i="9" s="1"/>
  <c r="Q58" i="10"/>
  <c r="K58" i="10" s="1"/>
  <c r="G58" i="10" s="1"/>
  <c r="F59" i="10" s="1"/>
  <c r="I59" i="9" l="1"/>
  <c r="H59" i="10"/>
  <c r="O59" i="10" s="1"/>
  <c r="I59" i="10" s="1"/>
  <c r="F59" i="11"/>
  <c r="H59" i="11" s="1"/>
  <c r="G59" i="11"/>
  <c r="P59" i="9" l="1"/>
  <c r="P59" i="10"/>
  <c r="J59" i="9" l="1"/>
  <c r="J59" i="10"/>
  <c r="Q59" i="9" l="1"/>
  <c r="K59" i="9" s="1"/>
  <c r="G59" i="9" s="1"/>
  <c r="F60" i="9" s="1"/>
  <c r="H60" i="9" s="1"/>
  <c r="O60" i="9" s="1"/>
  <c r="Q59" i="10"/>
  <c r="K59" i="10" s="1"/>
  <c r="G59" i="10" s="1"/>
  <c r="F60" i="10" s="1"/>
  <c r="I60" i="9" l="1"/>
  <c r="H60" i="10"/>
  <c r="O60" i="10" s="1"/>
  <c r="I60" i="10" s="1"/>
  <c r="F60" i="11"/>
  <c r="H60" i="11" s="1"/>
  <c r="G60" i="11"/>
  <c r="P60" i="9" l="1"/>
  <c r="P60" i="10"/>
  <c r="J60" i="9" l="1"/>
  <c r="J60" i="10"/>
  <c r="Q60" i="9" l="1"/>
  <c r="K60" i="9" s="1"/>
  <c r="G60" i="9" s="1"/>
  <c r="F61" i="9" s="1"/>
  <c r="H61" i="9" s="1"/>
  <c r="O61" i="9" s="1"/>
  <c r="Q60" i="10"/>
  <c r="K60" i="10" s="1"/>
  <c r="G60" i="10" s="1"/>
  <c r="F61" i="10" s="1"/>
  <c r="I61" i="9" l="1"/>
  <c r="H61" i="10"/>
  <c r="O61" i="10" s="1"/>
  <c r="I61" i="10" s="1"/>
  <c r="F61" i="11"/>
  <c r="H61" i="11" s="1"/>
  <c r="G61" i="11"/>
  <c r="P61" i="9" l="1"/>
  <c r="P61" i="10"/>
  <c r="J61" i="9" l="1"/>
  <c r="J61" i="10"/>
  <c r="Q61" i="9" l="1"/>
  <c r="K61" i="9" s="1"/>
  <c r="G61" i="9" s="1"/>
  <c r="F62" i="9" s="1"/>
  <c r="H62" i="9" s="1"/>
  <c r="O62" i="9" s="1"/>
  <c r="Q61" i="10"/>
  <c r="K61" i="10" s="1"/>
  <c r="G61" i="10" s="1"/>
  <c r="F62" i="10" s="1"/>
  <c r="I62" i="9" l="1"/>
  <c r="H62" i="10"/>
  <c r="O62" i="10" s="1"/>
  <c r="I62" i="10" s="1"/>
  <c r="F62" i="11"/>
  <c r="H62" i="11" s="1"/>
  <c r="G62" i="11"/>
  <c r="P62" i="9" l="1"/>
  <c r="P62" i="10"/>
  <c r="J62" i="9" l="1"/>
  <c r="J62" i="10"/>
  <c r="Q62" i="9" l="1"/>
  <c r="K62" i="9" s="1"/>
  <c r="G62" i="9" s="1"/>
  <c r="F63" i="9" s="1"/>
  <c r="H63" i="9" s="1"/>
  <c r="O63" i="9" s="1"/>
  <c r="Q62" i="10"/>
  <c r="K62" i="10" s="1"/>
  <c r="G62" i="10" s="1"/>
  <c r="F63" i="10" s="1"/>
  <c r="I63" i="9" l="1"/>
  <c r="H63" i="10"/>
  <c r="O63" i="10" s="1"/>
  <c r="I63" i="10" s="1"/>
  <c r="F63" i="11"/>
  <c r="H63" i="11" s="1"/>
  <c r="G63" i="11"/>
  <c r="P63" i="9" l="1"/>
  <c r="P63" i="10"/>
  <c r="J63" i="9" l="1"/>
  <c r="J63" i="10"/>
  <c r="Q63" i="9" l="1"/>
  <c r="K63" i="9" s="1"/>
  <c r="G63" i="9" s="1"/>
  <c r="F64" i="9" s="1"/>
  <c r="H64" i="9" s="1"/>
  <c r="O64" i="9" s="1"/>
  <c r="Q63" i="10"/>
  <c r="K63" i="10" s="1"/>
  <c r="G63" i="10" s="1"/>
  <c r="F64" i="10" s="1"/>
  <c r="I64" i="9" l="1"/>
  <c r="H64" i="10"/>
  <c r="O64" i="10" s="1"/>
  <c r="I64" i="10" s="1"/>
  <c r="F64" i="11"/>
  <c r="H64" i="11" s="1"/>
  <c r="G64" i="11"/>
  <c r="P64" i="9" l="1"/>
  <c r="P64" i="10"/>
  <c r="J64" i="9" l="1"/>
  <c r="J64" i="10"/>
  <c r="Q64" i="9" l="1"/>
  <c r="K64" i="9" s="1"/>
  <c r="G64" i="9" s="1"/>
  <c r="F65" i="9" s="1"/>
  <c r="H65" i="9" s="1"/>
  <c r="O65" i="9" s="1"/>
  <c r="Q64" i="10"/>
  <c r="K64" i="10" s="1"/>
  <c r="G64" i="10" s="1"/>
  <c r="F65" i="10" s="1"/>
  <c r="I65" i="9" l="1"/>
  <c r="H65" i="10"/>
  <c r="O65" i="10" s="1"/>
  <c r="I65" i="10" s="1"/>
  <c r="F65" i="11"/>
  <c r="H65" i="11" s="1"/>
  <c r="G65" i="11"/>
  <c r="P65" i="9" l="1"/>
  <c r="P65" i="10"/>
  <c r="J65" i="9" l="1"/>
  <c r="J65" i="10"/>
  <c r="Q65" i="9" l="1"/>
  <c r="K65" i="9" s="1"/>
  <c r="G65" i="9" s="1"/>
  <c r="F66" i="9" s="1"/>
  <c r="H66" i="9" s="1"/>
  <c r="O66" i="9" s="1"/>
  <c r="Q65" i="10"/>
  <c r="K65" i="10" s="1"/>
  <c r="G65" i="10" s="1"/>
  <c r="F66" i="10" s="1"/>
  <c r="I66" i="9" l="1"/>
  <c r="H66" i="10"/>
  <c r="O66" i="10" s="1"/>
  <c r="I66" i="10" s="1"/>
  <c r="F66" i="11"/>
  <c r="H66" i="11" s="1"/>
  <c r="G66" i="11"/>
  <c r="P66" i="9" l="1"/>
  <c r="P66" i="10"/>
  <c r="J66" i="9" l="1"/>
  <c r="J66" i="10"/>
  <c r="Q66" i="9" l="1"/>
  <c r="K66" i="9" s="1"/>
  <c r="G66" i="9" s="1"/>
  <c r="F67" i="9" s="1"/>
  <c r="H67" i="9" s="1"/>
  <c r="O67" i="9" s="1"/>
  <c r="Q66" i="10"/>
  <c r="K66" i="10" s="1"/>
  <c r="G66" i="10" s="1"/>
  <c r="F67" i="10" s="1"/>
  <c r="I67" i="9" l="1"/>
  <c r="H67" i="10"/>
  <c r="O67" i="10" s="1"/>
  <c r="I67" i="10" s="1"/>
  <c r="G67" i="11"/>
  <c r="F67" i="11"/>
  <c r="H67" i="11" s="1"/>
  <c r="P67" i="9" l="1"/>
  <c r="P67" i="10"/>
  <c r="J67" i="9" l="1"/>
  <c r="J67" i="10"/>
  <c r="Q67" i="9" l="1"/>
  <c r="K67" i="9" s="1"/>
  <c r="G67" i="9" s="1"/>
  <c r="F68" i="9" s="1"/>
  <c r="H68" i="9" s="1"/>
  <c r="O68" i="9" s="1"/>
  <c r="Q67" i="10"/>
  <c r="K67" i="10" s="1"/>
  <c r="G67" i="10" s="1"/>
  <c r="F68" i="10" s="1"/>
  <c r="I68" i="9" l="1"/>
  <c r="H68" i="10"/>
  <c r="O68" i="10" s="1"/>
  <c r="I68" i="10" s="1"/>
  <c r="G68" i="11"/>
  <c r="F68" i="11"/>
  <c r="H68" i="11" s="1"/>
  <c r="P68" i="9" l="1"/>
  <c r="P68" i="10"/>
  <c r="J68" i="9" l="1"/>
  <c r="J68" i="10"/>
  <c r="Q68" i="9" l="1"/>
  <c r="K68" i="9" s="1"/>
  <c r="G68" i="9" s="1"/>
  <c r="F69" i="9" s="1"/>
  <c r="H69" i="9" s="1"/>
  <c r="O69" i="9" s="1"/>
  <c r="Q68" i="10"/>
  <c r="K68" i="10" s="1"/>
  <c r="G68" i="10" s="1"/>
  <c r="F69" i="10" s="1"/>
  <c r="I69" i="9" l="1"/>
  <c r="H69" i="10"/>
  <c r="O69" i="10" s="1"/>
  <c r="I69" i="10" s="1"/>
  <c r="F69" i="11"/>
  <c r="H69" i="11" s="1"/>
  <c r="G69" i="11"/>
  <c r="P69" i="9" l="1"/>
  <c r="P69" i="10"/>
  <c r="J69" i="9" l="1"/>
  <c r="J69" i="10"/>
  <c r="Q69" i="9" l="1"/>
  <c r="K69" i="9" s="1"/>
  <c r="G69" i="9" s="1"/>
  <c r="F70" i="9" s="1"/>
  <c r="H70" i="9" s="1"/>
  <c r="O70" i="9" s="1"/>
  <c r="Q69" i="10"/>
  <c r="K69" i="10" s="1"/>
  <c r="G69" i="10" s="1"/>
  <c r="F70" i="10" s="1"/>
  <c r="I70" i="9" l="1"/>
  <c r="H70" i="10"/>
  <c r="O70" i="10" s="1"/>
  <c r="I70" i="10" s="1"/>
  <c r="F70" i="11"/>
  <c r="H70" i="11" s="1"/>
  <c r="G70" i="11"/>
  <c r="P70" i="9" l="1"/>
  <c r="P70" i="10"/>
  <c r="J70" i="9" l="1"/>
  <c r="J70" i="10"/>
  <c r="Q70" i="9" l="1"/>
  <c r="K70" i="9" s="1"/>
  <c r="G70" i="9" s="1"/>
  <c r="F71" i="9" s="1"/>
  <c r="H71" i="9" s="1"/>
  <c r="O71" i="9" s="1"/>
  <c r="Q70" i="10"/>
  <c r="K70" i="10" s="1"/>
  <c r="G70" i="10" s="1"/>
  <c r="F71" i="10" s="1"/>
  <c r="I71" i="9" l="1"/>
  <c r="H71" i="10"/>
  <c r="O71" i="10" s="1"/>
  <c r="I71" i="10" s="1"/>
  <c r="F71" i="11"/>
  <c r="H71" i="11" s="1"/>
  <c r="G71" i="11"/>
  <c r="P71" i="9" l="1"/>
  <c r="P71" i="10"/>
  <c r="J71" i="9" l="1"/>
  <c r="J71" i="10"/>
  <c r="Q71" i="9" l="1"/>
  <c r="K71" i="9" s="1"/>
  <c r="G71" i="9" s="1"/>
  <c r="F72" i="9" s="1"/>
  <c r="H72" i="9" s="1"/>
  <c r="O72" i="9" s="1"/>
  <c r="Q71" i="10"/>
  <c r="K71" i="10" s="1"/>
  <c r="G71" i="10" s="1"/>
  <c r="F72" i="10" s="1"/>
  <c r="I72" i="9" l="1"/>
  <c r="H72" i="10"/>
  <c r="O72" i="10" s="1"/>
  <c r="I72" i="10" s="1"/>
  <c r="F72" i="11"/>
  <c r="H72" i="11" s="1"/>
  <c r="G72" i="11"/>
  <c r="P72" i="9" l="1"/>
  <c r="P72" i="10"/>
  <c r="J72" i="9" l="1"/>
  <c r="J72" i="10"/>
  <c r="Q72" i="9" l="1"/>
  <c r="K72" i="9" s="1"/>
  <c r="G72" i="9" s="1"/>
  <c r="F73" i="9" s="1"/>
  <c r="H73" i="9" s="1"/>
  <c r="O73" i="9" s="1"/>
  <c r="Q72" i="10"/>
  <c r="K72" i="10" s="1"/>
  <c r="G72" i="10" s="1"/>
  <c r="F73" i="10" s="1"/>
  <c r="I73" i="9" l="1"/>
  <c r="H73" i="10"/>
  <c r="O73" i="10" s="1"/>
  <c r="I73" i="10" s="1"/>
  <c r="F73" i="11"/>
  <c r="H73" i="11" s="1"/>
  <c r="G73" i="11"/>
  <c r="P73" i="9" l="1"/>
  <c r="P73" i="10"/>
  <c r="J73" i="9" l="1"/>
  <c r="J73" i="10"/>
  <c r="Q73" i="9" l="1"/>
  <c r="K73" i="9" s="1"/>
  <c r="G73" i="9" s="1"/>
  <c r="F74" i="9" s="1"/>
  <c r="H74" i="9" s="1"/>
  <c r="O74" i="9" s="1"/>
  <c r="Q73" i="10"/>
  <c r="K73" i="10" s="1"/>
  <c r="G73" i="10" s="1"/>
  <c r="F74" i="10" s="1"/>
  <c r="I74" i="9" l="1"/>
  <c r="H74" i="10"/>
  <c r="O74" i="10" s="1"/>
  <c r="I74" i="10" s="1"/>
  <c r="G74" i="11"/>
  <c r="F74" i="11"/>
  <c r="H74" i="11" s="1"/>
  <c r="P74" i="9" l="1"/>
  <c r="P74" i="10"/>
  <c r="J74" i="9" l="1"/>
  <c r="J74" i="10"/>
  <c r="Q74" i="9" l="1"/>
  <c r="K74" i="9" s="1"/>
  <c r="G74" i="9" s="1"/>
  <c r="F75" i="9" s="1"/>
  <c r="H75" i="9" s="1"/>
  <c r="O75" i="9" s="1"/>
  <c r="Q74" i="10"/>
  <c r="K74" i="10" s="1"/>
  <c r="G74" i="10" s="1"/>
  <c r="F75" i="10" s="1"/>
  <c r="I75" i="9" l="1"/>
  <c r="H75" i="10"/>
  <c r="O75" i="10" s="1"/>
  <c r="I75" i="10" s="1"/>
  <c r="G75" i="11"/>
  <c r="F75" i="11"/>
  <c r="H75" i="11" s="1"/>
  <c r="P75" i="9" l="1"/>
  <c r="P75" i="10"/>
  <c r="J75" i="9" l="1"/>
  <c r="J75" i="10"/>
  <c r="Q75" i="9" l="1"/>
  <c r="K75" i="9" s="1"/>
  <c r="G75" i="9" s="1"/>
  <c r="F76" i="9" s="1"/>
  <c r="H76" i="9" s="1"/>
  <c r="O76" i="9" s="1"/>
  <c r="Q75" i="10"/>
  <c r="K75" i="10" s="1"/>
  <c r="G75" i="10" s="1"/>
  <c r="F76" i="10" s="1"/>
  <c r="I76" i="9" l="1"/>
  <c r="H76" i="10"/>
  <c r="O76" i="10" s="1"/>
  <c r="I76" i="10" s="1"/>
  <c r="F76" i="11"/>
  <c r="H76" i="11" s="1"/>
  <c r="G76" i="11"/>
  <c r="P76" i="9" l="1"/>
  <c r="P76" i="10"/>
  <c r="J76" i="9" l="1"/>
  <c r="J76" i="10"/>
  <c r="Q76" i="9" l="1"/>
  <c r="K76" i="9" s="1"/>
  <c r="G76" i="9" s="1"/>
  <c r="F77" i="9" s="1"/>
  <c r="H77" i="9" s="1"/>
  <c r="O77" i="9" s="1"/>
  <c r="Q76" i="10"/>
  <c r="K76" i="10" s="1"/>
  <c r="G76" i="10" s="1"/>
  <c r="F77" i="10" s="1"/>
  <c r="I77" i="9" l="1"/>
  <c r="H77" i="10"/>
  <c r="O77" i="10" s="1"/>
  <c r="I77" i="10" s="1"/>
  <c r="F77" i="11"/>
  <c r="H77" i="11" s="1"/>
  <c r="G77" i="11"/>
  <c r="P77" i="9" l="1"/>
  <c r="P77" i="10"/>
  <c r="J77" i="9" l="1"/>
  <c r="Q77" i="9" s="1"/>
  <c r="K77" i="9" s="1"/>
  <c r="J77" i="10"/>
  <c r="G77" i="9" l="1"/>
  <c r="F78" i="9" s="1"/>
  <c r="H78" i="9" s="1"/>
  <c r="O78" i="9" s="1"/>
  <c r="Q77" i="10"/>
  <c r="K77" i="10" s="1"/>
  <c r="G77" i="10" s="1"/>
  <c r="F78" i="10" s="1"/>
  <c r="I78" i="9" l="1"/>
  <c r="H78" i="10"/>
  <c r="O78" i="10" s="1"/>
  <c r="I78" i="10" s="1"/>
  <c r="F78" i="11"/>
  <c r="H78" i="11" s="1"/>
  <c r="G78" i="11"/>
  <c r="P78" i="9" l="1"/>
  <c r="P78" i="10"/>
  <c r="J78" i="9" l="1"/>
  <c r="J78" i="10"/>
  <c r="Q78" i="9" l="1"/>
  <c r="K78" i="9" s="1"/>
  <c r="G78" i="9" s="1"/>
  <c r="F79" i="9" s="1"/>
  <c r="H79" i="9" s="1"/>
  <c r="O79" i="9" s="1"/>
  <c r="Q78" i="10"/>
  <c r="K78" i="10" s="1"/>
  <c r="G78" i="10" s="1"/>
  <c r="F79" i="10" s="1"/>
  <c r="I79" i="9" l="1"/>
  <c r="H79" i="10"/>
  <c r="O79" i="10" s="1"/>
  <c r="I79" i="10" s="1"/>
  <c r="F79" i="11"/>
  <c r="H79" i="11" s="1"/>
  <c r="G79" i="11"/>
  <c r="P79" i="9" l="1"/>
  <c r="P79" i="10"/>
  <c r="J79" i="9" l="1"/>
  <c r="J79" i="10"/>
  <c r="Q79" i="9" l="1"/>
  <c r="K79" i="9" s="1"/>
  <c r="G79" i="9" s="1"/>
  <c r="F80" i="9" s="1"/>
  <c r="H80" i="9" s="1"/>
  <c r="O80" i="9" s="1"/>
  <c r="Q79" i="10"/>
  <c r="K79" i="10" s="1"/>
  <c r="G79" i="10" s="1"/>
  <c r="F80" i="10" s="1"/>
  <c r="I80" i="9" l="1"/>
  <c r="H80" i="10"/>
  <c r="O80" i="10" s="1"/>
  <c r="I80" i="10" s="1"/>
  <c r="F80" i="11"/>
  <c r="H80" i="11" s="1"/>
  <c r="G80" i="11"/>
  <c r="P80" i="9" l="1"/>
  <c r="P80" i="10"/>
  <c r="J80" i="9" l="1"/>
  <c r="J80" i="10"/>
  <c r="Q80" i="9" l="1"/>
  <c r="K80" i="9" s="1"/>
  <c r="G80" i="9" s="1"/>
  <c r="F81" i="9" s="1"/>
  <c r="H81" i="9" s="1"/>
  <c r="O81" i="9" s="1"/>
  <c r="Q80" i="10"/>
  <c r="K80" i="10" s="1"/>
  <c r="G80" i="10" s="1"/>
  <c r="F81" i="10" s="1"/>
  <c r="I81" i="9" l="1"/>
  <c r="H81" i="10"/>
  <c r="O81" i="10" s="1"/>
  <c r="I81" i="10" s="1"/>
  <c r="F81" i="11"/>
  <c r="H81" i="11" s="1"/>
  <c r="G81" i="11"/>
  <c r="P81" i="9" l="1"/>
  <c r="P81" i="10"/>
  <c r="J81" i="9" l="1"/>
  <c r="J81" i="10"/>
  <c r="Q81" i="9" l="1"/>
  <c r="K81" i="9" s="1"/>
  <c r="G81" i="9" s="1"/>
  <c r="F82" i="9" s="1"/>
  <c r="H82" i="9" s="1"/>
  <c r="O82" i="9" s="1"/>
  <c r="Q81" i="10"/>
  <c r="K81" i="10" s="1"/>
  <c r="G81" i="10" s="1"/>
  <c r="F82" i="10" s="1"/>
  <c r="I82" i="9" l="1"/>
  <c r="H82" i="10"/>
  <c r="O82" i="10" s="1"/>
  <c r="I82" i="10" s="1"/>
  <c r="F82" i="11"/>
  <c r="H82" i="11" s="1"/>
  <c r="G82" i="11"/>
  <c r="P82" i="9" l="1"/>
  <c r="P82" i="10"/>
  <c r="J82" i="9" l="1"/>
  <c r="J82" i="10"/>
  <c r="Q82" i="9" l="1"/>
  <c r="K82" i="9" s="1"/>
  <c r="G82" i="9" s="1"/>
  <c r="F83" i="9" s="1"/>
  <c r="H83" i="9" s="1"/>
  <c r="O83" i="9" s="1"/>
  <c r="Q82" i="10"/>
  <c r="K82" i="10" s="1"/>
  <c r="G82" i="10" s="1"/>
  <c r="F83" i="10" s="1"/>
  <c r="I83" i="9" l="1"/>
  <c r="H83" i="10"/>
  <c r="O83" i="10" s="1"/>
  <c r="I83" i="10" s="1"/>
  <c r="F83" i="11"/>
  <c r="H83" i="11" s="1"/>
  <c r="G83" i="11"/>
  <c r="P83" i="9" l="1"/>
  <c r="P83" i="10"/>
  <c r="J83" i="9" l="1"/>
  <c r="J83" i="10"/>
  <c r="Q83" i="9" l="1"/>
  <c r="K83" i="9" s="1"/>
  <c r="G83" i="9" s="1"/>
  <c r="F84" i="9" s="1"/>
  <c r="H84" i="9" s="1"/>
  <c r="O84" i="9" s="1"/>
  <c r="Q83" i="10"/>
  <c r="K83" i="10" s="1"/>
  <c r="G83" i="10" s="1"/>
  <c r="F84" i="10" s="1"/>
  <c r="I84" i="9" l="1"/>
  <c r="H84" i="10"/>
  <c r="O84" i="10" s="1"/>
  <c r="I84" i="10" s="1"/>
  <c r="F84" i="11"/>
  <c r="H84" i="11" s="1"/>
  <c r="G84" i="11"/>
  <c r="P84" i="9" l="1"/>
  <c r="P84" i="10"/>
  <c r="J84" i="9" l="1"/>
  <c r="J84" i="10"/>
  <c r="Q84" i="9" l="1"/>
  <c r="K84" i="9" s="1"/>
  <c r="G84" i="9" s="1"/>
  <c r="F85" i="9" s="1"/>
  <c r="H85" i="9" s="1"/>
  <c r="O85" i="9" s="1"/>
  <c r="Q84" i="10"/>
  <c r="K84" i="10" s="1"/>
  <c r="G84" i="10" s="1"/>
  <c r="F85" i="10" s="1"/>
  <c r="I85" i="9" l="1"/>
  <c r="H85" i="10"/>
  <c r="O85" i="10" s="1"/>
  <c r="I85" i="10" s="1"/>
  <c r="F85" i="11"/>
  <c r="H85" i="11" s="1"/>
  <c r="G85" i="11"/>
  <c r="P85" i="9" l="1"/>
  <c r="P85" i="10"/>
  <c r="J85" i="9" l="1"/>
  <c r="J85" i="10"/>
  <c r="Q85" i="9" l="1"/>
  <c r="K85" i="9" s="1"/>
  <c r="G85" i="9" s="1"/>
  <c r="F86" i="9" s="1"/>
  <c r="H86" i="9" s="1"/>
  <c r="O86" i="9" s="1"/>
  <c r="Q85" i="10"/>
  <c r="K85" i="10" s="1"/>
  <c r="G85" i="10" s="1"/>
  <c r="F86" i="10" s="1"/>
  <c r="I86" i="9" l="1"/>
  <c r="H86" i="10"/>
  <c r="O86" i="10" s="1"/>
  <c r="I86" i="10" s="1"/>
  <c r="F86" i="11"/>
  <c r="H86" i="11" s="1"/>
  <c r="G86" i="11"/>
  <c r="P86" i="9" l="1"/>
  <c r="P86" i="10"/>
  <c r="J86" i="9" l="1"/>
  <c r="J86" i="10"/>
  <c r="Q86" i="9" l="1"/>
  <c r="K86" i="9" s="1"/>
  <c r="G86" i="9" s="1"/>
  <c r="F87" i="9" s="1"/>
  <c r="H87" i="9" s="1"/>
  <c r="O87" i="9" s="1"/>
  <c r="Q86" i="10"/>
  <c r="K86" i="10" s="1"/>
  <c r="G86" i="10" s="1"/>
  <c r="F87" i="10" s="1"/>
  <c r="I87" i="9" l="1"/>
  <c r="H87" i="10"/>
  <c r="O87" i="10" s="1"/>
  <c r="I87" i="10" s="1"/>
  <c r="F87" i="11"/>
  <c r="H87" i="11" s="1"/>
  <c r="G87" i="11"/>
  <c r="P87" i="9" l="1"/>
  <c r="P87" i="10"/>
  <c r="J87" i="9" l="1"/>
  <c r="J87" i="10"/>
  <c r="Q87" i="9" l="1"/>
  <c r="K87" i="9" s="1"/>
  <c r="G87" i="9" s="1"/>
  <c r="F88" i="9" s="1"/>
  <c r="H88" i="9" s="1"/>
  <c r="O88" i="9" s="1"/>
  <c r="Q87" i="10"/>
  <c r="K87" i="10" s="1"/>
  <c r="G87" i="10" s="1"/>
  <c r="F88" i="10" s="1"/>
  <c r="I88" i="9" l="1"/>
  <c r="H88" i="10"/>
  <c r="O88" i="10" s="1"/>
  <c r="I88" i="10" s="1"/>
  <c r="F88" i="11"/>
  <c r="H88" i="11" s="1"/>
  <c r="G88" i="11"/>
  <c r="P88" i="9" l="1"/>
  <c r="P88" i="10"/>
  <c r="J88" i="9" l="1"/>
  <c r="J88" i="10"/>
  <c r="Q88" i="9" l="1"/>
  <c r="K88" i="9" s="1"/>
  <c r="G88" i="9" s="1"/>
  <c r="F89" i="9" s="1"/>
  <c r="H89" i="9" s="1"/>
  <c r="O89" i="9" s="1"/>
  <c r="Q88" i="10"/>
  <c r="K88" i="10" s="1"/>
  <c r="G88" i="10" s="1"/>
  <c r="F89" i="10" s="1"/>
  <c r="I89" i="9" l="1"/>
  <c r="H89" i="10"/>
  <c r="O89" i="10" s="1"/>
  <c r="I89" i="10" s="1"/>
  <c r="F89" i="11"/>
  <c r="H89" i="11" s="1"/>
  <c r="G89" i="11"/>
  <c r="P89" i="9" l="1"/>
  <c r="P89" i="10"/>
  <c r="J89" i="9" l="1"/>
  <c r="J89" i="10"/>
  <c r="Q89" i="9" l="1"/>
  <c r="K89" i="9" s="1"/>
  <c r="G89" i="9" s="1"/>
  <c r="F90" i="9" s="1"/>
  <c r="H90" i="9" s="1"/>
  <c r="O90" i="9" s="1"/>
  <c r="Q89" i="10"/>
  <c r="K89" i="10" s="1"/>
  <c r="G89" i="10" s="1"/>
  <c r="F90" i="10" s="1"/>
  <c r="I90" i="9" l="1"/>
  <c r="H90" i="10"/>
  <c r="O90" i="10" s="1"/>
  <c r="I90" i="10" s="1"/>
  <c r="F90" i="11"/>
  <c r="H90" i="11" s="1"/>
  <c r="G90" i="11"/>
  <c r="P90" i="9" l="1"/>
  <c r="P90" i="10"/>
  <c r="J90" i="9" l="1"/>
  <c r="Q90" i="9" s="1"/>
  <c r="K90" i="9" s="1"/>
  <c r="J90" i="10"/>
  <c r="G90" i="9" l="1"/>
  <c r="F91" i="9" s="1"/>
  <c r="H91" i="9" s="1"/>
  <c r="O91" i="9" s="1"/>
  <c r="Q90" i="10"/>
  <c r="K90" i="10" s="1"/>
  <c r="G90" i="10" s="1"/>
  <c r="F91" i="10" s="1"/>
  <c r="I91" i="9" l="1"/>
  <c r="H91" i="10"/>
  <c r="O91" i="10" s="1"/>
  <c r="I91" i="10" s="1"/>
  <c r="F91" i="11"/>
  <c r="H91" i="11" s="1"/>
  <c r="G91" i="11"/>
  <c r="P91" i="9" l="1"/>
  <c r="P91" i="10"/>
  <c r="J91" i="9" l="1"/>
  <c r="J91" i="10"/>
  <c r="Q91" i="9" l="1"/>
  <c r="K91" i="9" s="1"/>
  <c r="G91" i="9" s="1"/>
  <c r="F92" i="9" s="1"/>
  <c r="H92" i="9" s="1"/>
  <c r="O92" i="9" s="1"/>
  <c r="Q91" i="10"/>
  <c r="K91" i="10" s="1"/>
  <c r="G91" i="10" s="1"/>
  <c r="F92" i="10" s="1"/>
  <c r="I92" i="9" l="1"/>
  <c r="H92" i="10"/>
  <c r="O92" i="10" s="1"/>
  <c r="I92" i="10" s="1"/>
  <c r="F92" i="11"/>
  <c r="H92" i="11" s="1"/>
  <c r="G92" i="11"/>
  <c r="P92" i="9" l="1"/>
  <c r="P92" i="10"/>
  <c r="J92" i="9" l="1"/>
  <c r="J92" i="10"/>
  <c r="Q92" i="9" l="1"/>
  <c r="K92" i="9" s="1"/>
  <c r="G92" i="9" s="1"/>
  <c r="F93" i="9" s="1"/>
  <c r="H93" i="9" s="1"/>
  <c r="O93" i="9" s="1"/>
  <c r="Q92" i="10"/>
  <c r="K92" i="10" s="1"/>
  <c r="G92" i="10" s="1"/>
  <c r="F93" i="10" s="1"/>
  <c r="I93" i="9" l="1"/>
  <c r="H93" i="10"/>
  <c r="O93" i="10" s="1"/>
  <c r="I93" i="10" s="1"/>
  <c r="F93" i="11"/>
  <c r="H93" i="11" s="1"/>
  <c r="G93" i="11"/>
  <c r="P93" i="9" l="1"/>
  <c r="P93" i="10"/>
  <c r="J93" i="9" l="1"/>
  <c r="J93" i="10"/>
  <c r="Q93" i="9" l="1"/>
  <c r="K93" i="9" s="1"/>
  <c r="G93" i="9" s="1"/>
  <c r="F94" i="9" s="1"/>
  <c r="H94" i="9" s="1"/>
  <c r="O94" i="9" s="1"/>
  <c r="Q93" i="10"/>
  <c r="K93" i="10" s="1"/>
  <c r="G93" i="10" s="1"/>
  <c r="F94" i="10" s="1"/>
  <c r="I94" i="9" l="1"/>
  <c r="H94" i="10"/>
  <c r="O94" i="10" s="1"/>
  <c r="I94" i="10" s="1"/>
  <c r="F94" i="11"/>
  <c r="H94" i="11" s="1"/>
  <c r="G94" i="11"/>
  <c r="P94" i="9" l="1"/>
  <c r="P94" i="10"/>
  <c r="J94" i="9" l="1"/>
  <c r="J94" i="10"/>
  <c r="Q94" i="9" l="1"/>
  <c r="K94" i="9" s="1"/>
  <c r="G94" i="9" s="1"/>
  <c r="F95" i="9" s="1"/>
  <c r="H95" i="9" s="1"/>
  <c r="O95" i="9" s="1"/>
  <c r="Q94" i="10"/>
  <c r="K94" i="10" s="1"/>
  <c r="G94" i="10" s="1"/>
  <c r="F95" i="10" s="1"/>
  <c r="I95" i="9" l="1"/>
  <c r="H95" i="10"/>
  <c r="O95" i="10" s="1"/>
  <c r="I95" i="10" s="1"/>
  <c r="F95" i="11"/>
  <c r="H95" i="11" s="1"/>
  <c r="G95" i="11"/>
  <c r="P95" i="9" l="1"/>
  <c r="P95" i="10"/>
  <c r="J95" i="9" l="1"/>
  <c r="J95" i="10"/>
  <c r="Q95" i="9" l="1"/>
  <c r="K95" i="9" s="1"/>
  <c r="G95" i="9" s="1"/>
  <c r="F96" i="9" s="1"/>
  <c r="H96" i="9" s="1"/>
  <c r="O96" i="9" s="1"/>
  <c r="Q95" i="10"/>
  <c r="K95" i="10" s="1"/>
  <c r="G95" i="10" s="1"/>
  <c r="F96" i="10" s="1"/>
  <c r="I96" i="9" l="1"/>
  <c r="H96" i="10"/>
  <c r="O96" i="10" s="1"/>
  <c r="I96" i="10" s="1"/>
  <c r="G96" i="11"/>
  <c r="F96" i="11"/>
  <c r="H96" i="11" s="1"/>
  <c r="P96" i="9" l="1"/>
  <c r="P96" i="10"/>
  <c r="J96" i="9" l="1"/>
  <c r="J96" i="10"/>
  <c r="Q96" i="10" s="1"/>
  <c r="K96" i="10" s="1"/>
  <c r="Q96" i="9" l="1"/>
  <c r="K96" i="9" s="1"/>
  <c r="G96" i="9" s="1"/>
  <c r="F97" i="9" s="1"/>
  <c r="H97" i="9" s="1"/>
  <c r="O97" i="9" s="1"/>
  <c r="G96" i="10"/>
  <c r="F97" i="10" s="1"/>
  <c r="I97" i="9" l="1"/>
  <c r="H97" i="10"/>
  <c r="O97" i="10" s="1"/>
  <c r="I97" i="10" s="1"/>
  <c r="F97" i="11"/>
  <c r="H97" i="11" s="1"/>
  <c r="G97" i="11"/>
  <c r="P97" i="9" l="1"/>
  <c r="P97" i="10"/>
  <c r="J97" i="9" l="1"/>
  <c r="Q97" i="9" s="1"/>
  <c r="K97" i="9" s="1"/>
  <c r="J97" i="10"/>
  <c r="Q97" i="10" s="1"/>
  <c r="K97" i="10" s="1"/>
  <c r="G97" i="9" l="1"/>
  <c r="F98" i="9" s="1"/>
  <c r="H98" i="9" s="1"/>
  <c r="O98" i="9" s="1"/>
  <c r="G97" i="10"/>
  <c r="F98" i="10" s="1"/>
  <c r="I98" i="9" l="1"/>
  <c r="P98" i="9" s="1"/>
  <c r="H98" i="10"/>
  <c r="O98" i="10" s="1"/>
  <c r="I98" i="10" s="1"/>
  <c r="F98" i="11"/>
  <c r="H98" i="11" s="1"/>
  <c r="G98" i="11"/>
  <c r="J98" i="9" l="1"/>
  <c r="Q98" i="9" s="1"/>
  <c r="K98" i="9" s="1"/>
  <c r="P98" i="10"/>
  <c r="G98" i="9" l="1"/>
  <c r="F99" i="9" s="1"/>
  <c r="H99" i="9" s="1"/>
  <c r="O99" i="9" s="1"/>
  <c r="J98" i="10"/>
  <c r="Q98" i="10" s="1"/>
  <c r="K98" i="10" s="1"/>
  <c r="I99" i="9" l="1"/>
  <c r="P99" i="9" s="1"/>
  <c r="G98" i="10"/>
  <c r="F99" i="10" s="1"/>
  <c r="J99" i="9" l="1"/>
  <c r="Q99" i="9" s="1"/>
  <c r="K99" i="9" s="1"/>
  <c r="G99" i="9" s="1"/>
  <c r="F100" i="9" s="1"/>
  <c r="H100" i="9" s="1"/>
  <c r="O100" i="9" s="1"/>
  <c r="H99" i="10"/>
  <c r="O99" i="10" s="1"/>
  <c r="I99" i="10" s="1"/>
  <c r="F99" i="11"/>
  <c r="H99" i="11" s="1"/>
  <c r="G99" i="11"/>
  <c r="I100" i="9" l="1"/>
  <c r="P99" i="10"/>
  <c r="P100" i="9" l="1"/>
  <c r="J99" i="10"/>
  <c r="J100" i="9" l="1"/>
  <c r="Q100" i="9" s="1"/>
  <c r="K100" i="9" s="1"/>
  <c r="Q99" i="10"/>
  <c r="K99" i="10" s="1"/>
  <c r="G99" i="10" s="1"/>
  <c r="F100" i="10" s="1"/>
  <c r="G100" i="9" l="1"/>
  <c r="F101" i="9" s="1"/>
  <c r="H101" i="9" s="1"/>
  <c r="O101" i="9" s="1"/>
  <c r="H100" i="10"/>
  <c r="O100" i="10" s="1"/>
  <c r="I100" i="10" s="1"/>
  <c r="F100" i="11"/>
  <c r="H100" i="11" s="1"/>
  <c r="G100" i="11"/>
  <c r="I101" i="9" l="1"/>
  <c r="P100" i="10"/>
  <c r="P101" i="9" l="1"/>
  <c r="J100" i="10"/>
  <c r="J101" i="9" l="1"/>
  <c r="Q101" i="9" s="1"/>
  <c r="K101" i="9" s="1"/>
  <c r="Q100" i="10"/>
  <c r="K100" i="10" s="1"/>
  <c r="G100" i="10" s="1"/>
  <c r="F101" i="10" s="1"/>
  <c r="G101" i="9" l="1"/>
  <c r="F102" i="9" s="1"/>
  <c r="H102" i="9" s="1"/>
  <c r="O102" i="9" s="1"/>
  <c r="H101" i="10"/>
  <c r="O101" i="10" s="1"/>
  <c r="I101" i="10" s="1"/>
  <c r="F101" i="11"/>
  <c r="H101" i="11" s="1"/>
  <c r="G101" i="11"/>
  <c r="I102" i="9" l="1"/>
  <c r="P101" i="10"/>
  <c r="P102" i="9" l="1"/>
  <c r="J101" i="10"/>
  <c r="J102" i="9" l="1"/>
  <c r="Q101" i="10"/>
  <c r="K101" i="10" s="1"/>
  <c r="G101" i="10" s="1"/>
  <c r="F102" i="10" s="1"/>
  <c r="Q102" i="9" l="1"/>
  <c r="K102" i="9" s="1"/>
  <c r="G102" i="9" s="1"/>
  <c r="F103" i="9" s="1"/>
  <c r="H103" i="9" s="1"/>
  <c r="O103" i="9" s="1"/>
  <c r="H102" i="10"/>
  <c r="O102" i="10" s="1"/>
  <c r="I102" i="10" s="1"/>
  <c r="F102" i="11"/>
  <c r="H102" i="11" s="1"/>
  <c r="G102" i="11"/>
  <c r="I103" i="9" l="1"/>
  <c r="P103" i="9" s="1"/>
  <c r="P102" i="10"/>
  <c r="J103" i="9" l="1"/>
  <c r="Q103" i="9" s="1"/>
  <c r="K103" i="9" s="1"/>
  <c r="J102" i="10"/>
  <c r="G103" i="9" l="1"/>
  <c r="Q102" i="10"/>
  <c r="K102" i="10" s="1"/>
  <c r="G102" i="10" s="1"/>
  <c r="F103" i="10" s="1"/>
  <c r="H103" i="10" l="1"/>
  <c r="O103" i="10" s="1"/>
  <c r="I103" i="10" s="1"/>
  <c r="G103" i="11"/>
  <c r="F103" i="11"/>
  <c r="H103" i="11" s="1"/>
  <c r="P103" i="10" l="1"/>
  <c r="J103" i="10" l="1"/>
  <c r="Q103" i="10" l="1"/>
  <c r="K103" i="10" s="1"/>
  <c r="G103" i="10" s="1"/>
</calcChain>
</file>

<file path=xl/sharedStrings.xml><?xml version="1.0" encoding="utf-8"?>
<sst xmlns="http://schemas.openxmlformats.org/spreadsheetml/2006/main" count="88" uniqueCount="69">
  <si>
    <t>CCI-22</t>
  </si>
  <si>
    <t>Carlos Henrique Q. Forster</t>
  </si>
  <si>
    <t>Integrantes:</t>
  </si>
  <si>
    <t>Marcos Rodrigo Carneiro</t>
  </si>
  <si>
    <t>Marina Azevedo</t>
  </si>
  <si>
    <t>Renan Fernandes</t>
  </si>
  <si>
    <t>Turma 17.1</t>
  </si>
  <si>
    <t>Xo =</t>
  </si>
  <si>
    <t>t</t>
  </si>
  <si>
    <t>x</t>
  </si>
  <si>
    <t>v</t>
  </si>
  <si>
    <t>a</t>
  </si>
  <si>
    <t xml:space="preserve">Solução de Problemas de Valores Iniciais de Equações Diferenciais de </t>
  </si>
  <si>
    <t>2ª ordem utilizando o Método de Runge-Kutta de 4ª ordem</t>
  </si>
  <si>
    <t>Análise de Oscilações Forçadas</t>
  </si>
  <si>
    <t>Instituto Tecnológico de Aeronáutica</t>
  </si>
  <si>
    <t>Oscilações Forçadas</t>
  </si>
  <si>
    <t>Método de Runge-Kutta de 4ª ordem</t>
  </si>
  <si>
    <t>Oscilações forçadas são constituídas por sistemas em oscilação aos quais são aplicadas forças periódicas. Um fato importante é que o período dessas forças não coincide com o período das oscilações. Como exemplos vistos em [1] têm-se: vibrações do diafragma de um microfone; oscilações de uma pessoa sentada num balanço sendo periodicamente empurrada. Essas oscilações podem ser representadas pela seguinte equação em [2]:</t>
  </si>
  <si>
    <t xml:space="preserve">O método de Runge-Kutta é útil para solução de problemas de valor inicial de equações diferenciais ordinárias(EDO's) de 1ª ordem. Ele é um método de passo simples e possui as vantagens dos métodos de série de Taylor, porém é mais fácil de implementar pois não necessita do cálculo das derivadas de f(x,y). </t>
  </si>
  <si>
    <t>No problema abordado foi usada uma variante do método de Runge-Kutta de 4ªordem, dentre as infinitas que existem. Essa variante corresponde à encontrada em [3] e é dada por:              yi+1 = yi + (k1 + 2k2 + 2k3 + k4)h/6
  k1 = f(xi, yi)
  k2 = f(xi + ½h, yi + ½k1h)
  k3 = f(xi + ½h, yi + ½k2h)
  k4 = f(xi + h, yi + k3h)</t>
  </si>
  <si>
    <t>Caso massa-mola</t>
  </si>
  <si>
    <t>Adaptação necessária para poder se aplicar o método</t>
  </si>
  <si>
    <t>de Runge-Kutta em uma EDO de 2ª ordem</t>
  </si>
  <si>
    <t>A animação produzida nesse trabalho representará um sistema massa-mola sob a ação de uma força periódica, como mostra a figura (1) em [2] abaixo.</t>
  </si>
  <si>
    <t>Nesse caso, o "m" na equação (1) é a massa do bloco, o "k" é a constante elástica da mola e o "f(t)" é uma força periódica. Na resolução feita, será possível escolher diversos valores para "m" e "k"  e observar seus efeitos na posição e velocidade do sistema.</t>
  </si>
  <si>
    <t>Note que o método de Runge-Kutta é voltado para a resolução de EDO's de 1ª ordem, entretanto o problema abordado é uma EDO de 2ª ordem. Desse modo, é necessário transformar a EDO de 2ª ordem num sistema de EDO's de 1ª ordem, o que foi feito do seguinte modo:</t>
  </si>
  <si>
    <t>Figura(1): sitema massa-mola forçado</t>
  </si>
  <si>
    <t>Conclusão</t>
  </si>
  <si>
    <t>Conclui-se que o método de Runge-Kutta de 4ª ordem foi efetivo para resolver os problemas de valor inicial testados, visto que os valores por ele obtidos se aproximaram dos valores correspondentes à solução analítica. Também foi útil diagonalizar o sistema de EDO's de 1ª ordem, visto que para se retornar às variáveis desejadas de posição e velocidade bastaram simples multiplicações.</t>
  </si>
  <si>
    <t>Referência Bibliográficas</t>
  </si>
  <si>
    <t>[1]  Nussenzveig, H. Moysés, Curso de Física Básica volume2 (3ª edição, Editora Edgar Blutcher LTDA).</t>
  </si>
  <si>
    <t>[2] Hibbeler, R. C. , Engineering Mechanics: Statics and Dynamics(twelfth edition).</t>
  </si>
  <si>
    <t>[3] Slides de aula de CCI-22</t>
  </si>
  <si>
    <t>Fo(t)=</t>
  </si>
  <si>
    <t>m=</t>
  </si>
  <si>
    <t>K=</t>
  </si>
  <si>
    <t>Yo=</t>
  </si>
  <si>
    <t>h =</t>
  </si>
  <si>
    <t>to=</t>
  </si>
  <si>
    <t>Y1(i)+ k3*h</t>
  </si>
  <si>
    <t>Y1(i)+ (1/2)*k2*h</t>
  </si>
  <si>
    <t>Y1(i)+ (1/2)*k1*h</t>
  </si>
  <si>
    <t>t(i)+h</t>
  </si>
  <si>
    <t>t(i) +(1/2)h</t>
  </si>
  <si>
    <t>K4</t>
  </si>
  <si>
    <t>K3</t>
  </si>
  <si>
    <t>K2</t>
  </si>
  <si>
    <t>K1</t>
  </si>
  <si>
    <t>Y1(i+1)</t>
  </si>
  <si>
    <t>Y1(i)</t>
  </si>
  <si>
    <t>t(i)</t>
  </si>
  <si>
    <t>i</t>
  </si>
  <si>
    <t>F(t)=</t>
  </si>
  <si>
    <t>Y2(i)+ k3*h</t>
  </si>
  <si>
    <t>Y2(i)+ (1/2)*k2*h</t>
  </si>
  <si>
    <t>Y2(i)+ (1/2)*k1*h</t>
  </si>
  <si>
    <t>Y2(i+1)</t>
  </si>
  <si>
    <t>Y2(i)</t>
  </si>
  <si>
    <t>Vo=</t>
  </si>
  <si>
    <t>Xo=</t>
  </si>
  <si>
    <t>K =</t>
  </si>
  <si>
    <t>m =</t>
  </si>
  <si>
    <t>Aceleração</t>
  </si>
  <si>
    <t>Velocidade</t>
  </si>
  <si>
    <t>Vo =</t>
  </si>
  <si>
    <t xml:space="preserve">dt = </t>
  </si>
  <si>
    <t xml:space="preserve">Fo = </t>
  </si>
  <si>
    <t xml:space="preserve">to =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</si>
</sst>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name val="Arial"/>
      <family val="2"/>
    </font>
    <font>
      <b/>
      <sz val="16"/>
      <color theme="1"/>
      <name val="Calibri"/>
      <family val="2"/>
      <scheme val="minor"/>
    </font>
    <font>
      <b/>
      <sz val="18"/>
      <color theme="1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/>
  </cellStyleXfs>
  <cellXfs count="56">
    <xf numFmtId="0" fontId="0" fillId="0" borderId="0" xfId="0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2" fillId="0" borderId="0" xfId="0" applyFont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1" fillId="0" borderId="4" xfId="0" applyFont="1" applyBorder="1"/>
    <xf numFmtId="0" fontId="1" fillId="0" borderId="0" xfId="0" applyFont="1" applyBorder="1"/>
    <xf numFmtId="0" fontId="1" fillId="0" borderId="7" xfId="0" applyFont="1" applyBorder="1"/>
    <xf numFmtId="0" fontId="0" fillId="0" borderId="9" xfId="0" applyBorder="1" applyAlignment="1">
      <alignment horizontal="left"/>
    </xf>
    <xf numFmtId="0" fontId="0" fillId="0" borderId="10" xfId="0" applyBorder="1"/>
    <xf numFmtId="0" fontId="0" fillId="0" borderId="9" xfId="0" applyBorder="1"/>
    <xf numFmtId="0" fontId="4" fillId="0" borderId="0" xfId="0" applyFont="1" applyBorder="1"/>
    <xf numFmtId="0" fontId="2" fillId="0" borderId="0" xfId="1" applyFont="1"/>
    <xf numFmtId="0" fontId="5" fillId="0" borderId="0" xfId="1" applyAlignment="1">
      <alignment wrapText="1"/>
    </xf>
    <xf numFmtId="0" fontId="5" fillId="0" borderId="0" xfId="1"/>
    <xf numFmtId="0" fontId="5" fillId="0" borderId="0" xfId="1" applyFont="1" applyAlignment="1">
      <alignment wrapText="1"/>
    </xf>
    <xf numFmtId="0" fontId="2" fillId="0" borderId="0" xfId="1" applyFont="1" applyAlignment="1">
      <alignment vertical="top"/>
    </xf>
    <xf numFmtId="0" fontId="5" fillId="0" borderId="0" xfId="1" applyFont="1" applyAlignment="1">
      <alignment vertical="top" wrapText="1"/>
    </xf>
    <xf numFmtId="0" fontId="6" fillId="0" borderId="0" xfId="1" applyFont="1"/>
    <xf numFmtId="0" fontId="5" fillId="0" borderId="0" xfId="1" applyFont="1"/>
    <xf numFmtId="0" fontId="0" fillId="0" borderId="0" xfId="0" applyNumberFormat="1"/>
    <xf numFmtId="0" fontId="0" fillId="0" borderId="11" xfId="0" applyNumberFormat="1" applyBorder="1"/>
    <xf numFmtId="0" fontId="0" fillId="2" borderId="11" xfId="0" applyNumberFormat="1" applyFill="1" applyBorder="1"/>
    <xf numFmtId="0" fontId="0" fillId="0" borderId="11" xfId="0" applyBorder="1"/>
    <xf numFmtId="0" fontId="0" fillId="2" borderId="11" xfId="0" applyFill="1" applyBorder="1"/>
    <xf numFmtId="0" fontId="0" fillId="0" borderId="12" xfId="0" applyFill="1" applyBorder="1"/>
    <xf numFmtId="0" fontId="0" fillId="2" borderId="13" xfId="0" applyFill="1" applyBorder="1"/>
    <xf numFmtId="0" fontId="0" fillId="3" borderId="13" xfId="0" applyFill="1" applyBorder="1"/>
    <xf numFmtId="0" fontId="0" fillId="3" borderId="11" xfId="0" applyFill="1" applyBorder="1"/>
    <xf numFmtId="0" fontId="0" fillId="2" borderId="11" xfId="0" applyFill="1" applyBorder="1" applyAlignment="1">
      <alignment horizontal="right"/>
    </xf>
    <xf numFmtId="0" fontId="0" fillId="0" borderId="11" xfId="0" applyNumberFormat="1" applyBorder="1" applyAlignment="1">
      <alignment horizontal="left"/>
    </xf>
    <xf numFmtId="0" fontId="7" fillId="3" borderId="11" xfId="0" applyFont="1" applyFill="1" applyBorder="1"/>
    <xf numFmtId="0" fontId="7" fillId="3" borderId="11" xfId="0" applyFont="1" applyFill="1" applyBorder="1" applyAlignment="1">
      <alignment wrapText="1"/>
    </xf>
    <xf numFmtId="0" fontId="0" fillId="0" borderId="14" xfId="0" applyBorder="1"/>
    <xf numFmtId="0" fontId="0" fillId="0" borderId="15" xfId="0" applyNumberFormat="1" applyBorder="1"/>
    <xf numFmtId="0" fontId="0" fillId="0" borderId="14" xfId="0" applyFill="1" applyBorder="1"/>
    <xf numFmtId="0" fontId="0" fillId="3" borderId="15" xfId="0" applyFill="1" applyBorder="1"/>
    <xf numFmtId="0" fontId="7" fillId="0" borderId="0" xfId="0" applyNumberFormat="1" applyFont="1"/>
    <xf numFmtId="0" fontId="7" fillId="0" borderId="0" xfId="0" applyFont="1"/>
    <xf numFmtId="0" fontId="0" fillId="0" borderId="11" xfId="0" applyBorder="1" applyAlignment="1">
      <alignment horizontal="left"/>
    </xf>
    <xf numFmtId="3" fontId="0" fillId="0" borderId="0" xfId="0" applyNumberFormat="1" applyBorder="1"/>
    <xf numFmtId="3" fontId="0" fillId="0" borderId="0" xfId="0" applyNumberFormat="1" applyBorder="1" applyAlignment="1"/>
    <xf numFmtId="0" fontId="0" fillId="0" borderId="9" xfId="0" applyFill="1" applyBorder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3" fillId="0" borderId="0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4" fillId="0" borderId="4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609600</xdr:colOff>
      <xdr:row>11</xdr:row>
      <xdr:rowOff>0</xdr:rowOff>
    </xdr:from>
    <xdr:to>
      <xdr:col>2</xdr:col>
      <xdr:colOff>3400425</xdr:colOff>
      <xdr:row>19</xdr:row>
      <xdr:rowOff>95250</xdr:rowOff>
    </xdr:to>
    <xdr:pic>
      <xdr:nvPicPr>
        <xdr:cNvPr id="2" name="Picture 7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19200" y="5276850"/>
          <a:ext cx="3400425" cy="1390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</xdr:row>
          <xdr:rowOff>114300</xdr:rowOff>
        </xdr:from>
        <xdr:to>
          <xdr:col>2</xdr:col>
          <xdr:colOff>3190875</xdr:colOff>
          <xdr:row>4</xdr:row>
          <xdr:rowOff>1009650</xdr:rowOff>
        </xdr:to>
        <xdr:sp macro="" textlink="">
          <xdr:nvSpPr>
            <xdr:cNvPr id="6145" name="Object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600075</xdr:colOff>
          <xdr:row>21</xdr:row>
          <xdr:rowOff>76200</xdr:rowOff>
        </xdr:from>
        <xdr:to>
          <xdr:col>2</xdr:col>
          <xdr:colOff>2324100</xdr:colOff>
          <xdr:row>31</xdr:row>
          <xdr:rowOff>133350</xdr:rowOff>
        </xdr:to>
        <xdr:sp macro="" textlink="">
          <xdr:nvSpPr>
            <xdr:cNvPr id="6146" name="Object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11</xdr:row>
          <xdr:rowOff>0</xdr:rowOff>
        </xdr:from>
        <xdr:to>
          <xdr:col>7</xdr:col>
          <xdr:colOff>304800</xdr:colOff>
          <xdr:row>50</xdr:row>
          <xdr:rowOff>142875</xdr:rowOff>
        </xdr:to>
        <xdr:sp macro="" textlink="">
          <xdr:nvSpPr>
            <xdr:cNvPr id="6147" name="Object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8</xdr:row>
      <xdr:rowOff>76199</xdr:rowOff>
    </xdr:from>
    <xdr:to>
      <xdr:col>4</xdr:col>
      <xdr:colOff>504825</xdr:colOff>
      <xdr:row>24</xdr:row>
      <xdr:rowOff>133350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076450" y="1657349"/>
          <a:ext cx="1085850" cy="3105151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003">
          <a:schemeClr val="lt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533400</xdr:colOff>
      <xdr:row>15</xdr:row>
      <xdr:rowOff>152400</xdr:rowOff>
    </xdr:from>
    <xdr:to>
      <xdr:col>18</xdr:col>
      <xdr:colOff>419100</xdr:colOff>
      <xdr:row>24</xdr:row>
      <xdr:rowOff>114300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3190875" y="3057525"/>
          <a:ext cx="8420100" cy="16764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002">
          <a:schemeClr val="l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twoCellAnchor>
  <xdr:twoCellAnchor>
    <xdr:from>
      <xdr:col>4</xdr:col>
      <xdr:colOff>331787</xdr:colOff>
      <xdr:row>11</xdr:row>
      <xdr:rowOff>0</xdr:rowOff>
    </xdr:from>
    <xdr:to>
      <xdr:col>10</xdr:col>
      <xdr:colOff>255587</xdr:colOff>
      <xdr:row>14</xdr:row>
      <xdr:rowOff>114301</xdr:rowOff>
    </xdr:to>
    <xdr:sp macro="" textlink="">
      <xdr:nvSpPr>
        <xdr:cNvPr id="4" name="Forma liv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3175000" y="2024063"/>
          <a:ext cx="3810000" cy="657226"/>
        </a:xfrm>
        <a:custGeom>
          <a:avLst/>
          <a:gdLst>
            <a:gd name="connsiteX0" fmla="*/ 0 w 4772025"/>
            <a:gd name="connsiteY0" fmla="*/ 581026 h 1171577"/>
            <a:gd name="connsiteX1" fmla="*/ 619125 w 4772025"/>
            <a:gd name="connsiteY1" fmla="*/ 19051 h 1171577"/>
            <a:gd name="connsiteX2" fmla="*/ 1238250 w 4772025"/>
            <a:gd name="connsiteY2" fmla="*/ 1171576 h 1171577"/>
            <a:gd name="connsiteX3" fmla="*/ 1847850 w 4772025"/>
            <a:gd name="connsiteY3" fmla="*/ 9526 h 1171577"/>
            <a:gd name="connsiteX4" fmla="*/ 2457450 w 4772025"/>
            <a:gd name="connsiteY4" fmla="*/ 1152526 h 1171577"/>
            <a:gd name="connsiteX5" fmla="*/ 3076575 w 4772025"/>
            <a:gd name="connsiteY5" fmla="*/ 1 h 1171577"/>
            <a:gd name="connsiteX6" fmla="*/ 3676650 w 4772025"/>
            <a:gd name="connsiteY6" fmla="*/ 1162051 h 1171577"/>
            <a:gd name="connsiteX7" fmla="*/ 4267200 w 4772025"/>
            <a:gd name="connsiteY7" fmla="*/ 19051 h 1171577"/>
            <a:gd name="connsiteX8" fmla="*/ 4562475 w 4772025"/>
            <a:gd name="connsiteY8" fmla="*/ 600076 h 1171577"/>
            <a:gd name="connsiteX9" fmla="*/ 4772025 w 4772025"/>
            <a:gd name="connsiteY9" fmla="*/ 685801 h 117157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</a:cxnLst>
          <a:rect l="l" t="t" r="r" b="b"/>
          <a:pathLst>
            <a:path w="4772025" h="1171577">
              <a:moveTo>
                <a:pt x="0" y="581026"/>
              </a:moveTo>
              <a:cubicBezTo>
                <a:pt x="206375" y="250826"/>
                <a:pt x="412750" y="-79374"/>
                <a:pt x="619125" y="19051"/>
              </a:cubicBezTo>
              <a:cubicBezTo>
                <a:pt x="825500" y="117476"/>
                <a:pt x="1033463" y="1173163"/>
                <a:pt x="1238250" y="1171576"/>
              </a:cubicBezTo>
              <a:cubicBezTo>
                <a:pt x="1443037" y="1169989"/>
                <a:pt x="1644650" y="12701"/>
                <a:pt x="1847850" y="9526"/>
              </a:cubicBezTo>
              <a:cubicBezTo>
                <a:pt x="2051050" y="6351"/>
                <a:pt x="2252663" y="1154113"/>
                <a:pt x="2457450" y="1152526"/>
              </a:cubicBezTo>
              <a:cubicBezTo>
                <a:pt x="2662237" y="1150939"/>
                <a:pt x="2873375" y="-1586"/>
                <a:pt x="3076575" y="1"/>
              </a:cubicBezTo>
              <a:cubicBezTo>
                <a:pt x="3279775" y="1588"/>
                <a:pt x="3478213" y="1158876"/>
                <a:pt x="3676650" y="1162051"/>
              </a:cubicBezTo>
              <a:cubicBezTo>
                <a:pt x="3875087" y="1165226"/>
                <a:pt x="4119563" y="112713"/>
                <a:pt x="4267200" y="19051"/>
              </a:cubicBezTo>
              <a:cubicBezTo>
                <a:pt x="4414838" y="-74612"/>
                <a:pt x="4478338" y="488951"/>
                <a:pt x="4562475" y="600076"/>
              </a:cubicBezTo>
              <a:cubicBezTo>
                <a:pt x="4646613" y="711201"/>
                <a:pt x="4694238" y="674689"/>
                <a:pt x="4772025" y="685801"/>
              </a:cubicBezTo>
            </a:path>
          </a:pathLst>
        </a:cu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255587</xdr:colOff>
      <xdr:row>8</xdr:row>
      <xdr:rowOff>133350</xdr:rowOff>
    </xdr:from>
    <xdr:to>
      <xdr:col>12</xdr:col>
      <xdr:colOff>230187</xdr:colOff>
      <xdr:row>15</xdr:row>
      <xdr:rowOff>152400</xdr:rowOff>
    </xdr:to>
    <xdr:sp macro="" textlink="">
      <xdr:nvSpPr>
        <xdr:cNvPr id="5" name="Rosto feliz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985000" y="1614488"/>
          <a:ext cx="1270000" cy="1285875"/>
        </a:xfrm>
        <a:prstGeom prst="smileyFace">
          <a:avLst>
            <a:gd name="adj" fmla="val 4653"/>
          </a:avLst>
        </a:prstGeom>
        <a:solidFill>
          <a:srgbClr val="FFFF00"/>
        </a:solidFill>
        <a:ln>
          <a:solidFill>
            <a:srgbClr val="002060"/>
          </a:solidFill>
        </a:ln>
        <a:effectLst>
          <a:innerShdw blurRad="63500" dist="50800" dir="108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FFFFFF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</a:endParaRPr>
        </a:p>
      </xdr:txBody>
    </xdr:sp>
    <xdr:clientData/>
  </xdr:twoCellAnchor>
  <xdr:twoCellAnchor>
    <xdr:from>
      <xdr:col>5</xdr:col>
      <xdr:colOff>295275</xdr:colOff>
      <xdr:row>17</xdr:row>
      <xdr:rowOff>57150</xdr:rowOff>
    </xdr:from>
    <xdr:to>
      <xdr:col>18</xdr:col>
      <xdr:colOff>76200</xdr:colOff>
      <xdr:row>23</xdr:row>
      <xdr:rowOff>57150</xdr:rowOff>
    </xdr:to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3562350" y="3333750"/>
          <a:ext cx="7705725" cy="1143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 b="1"/>
            <a:t>TRABALHO DE CCI - 22</a:t>
          </a:r>
        </a:p>
        <a:p>
          <a:pPr algn="ctr"/>
          <a:endParaRPr lang="pt-BR" sz="1100" b="1"/>
        </a:p>
        <a:p>
          <a:pPr algn="ctr"/>
          <a:r>
            <a:rPr lang="pt-BR" sz="1100" b="1"/>
            <a:t>SOLUÇÃO</a:t>
          </a:r>
          <a:r>
            <a:rPr lang="pt-BR" sz="1100" b="1" baseline="0"/>
            <a:t> DE UM MOVIMENTO MASSA - MOLA</a:t>
          </a:r>
        </a:p>
        <a:p>
          <a:pPr algn="ctr"/>
          <a:endParaRPr lang="pt-BR" sz="1100" b="1" baseline="0"/>
        </a:p>
        <a:p>
          <a:pPr algn="ctr"/>
          <a:r>
            <a:rPr lang="pt-BR" sz="1100" b="1" baseline="0"/>
            <a:t>PROF.: CARLOS HENRIQUE FORSTER</a:t>
          </a:r>
          <a:endParaRPr lang="pt-BR" sz="1100" b="1"/>
        </a:p>
      </xdr:txBody>
    </xdr:sp>
    <xdr:clientData/>
  </xdr:twoCellAnchor>
  <xdr:twoCellAnchor>
    <xdr:from>
      <xdr:col>10</xdr:col>
      <xdr:colOff>217487</xdr:colOff>
      <xdr:row>2</xdr:row>
      <xdr:rowOff>0</xdr:rowOff>
    </xdr:from>
    <xdr:to>
      <xdr:col>12</xdr:col>
      <xdr:colOff>192087</xdr:colOff>
      <xdr:row>2</xdr:row>
      <xdr:rowOff>161925</xdr:rowOff>
    </xdr:to>
    <xdr:sp macro="" textlink="">
      <xdr:nvSpPr>
        <xdr:cNvPr id="7" name="Seta para a direita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946900" y="371475"/>
          <a:ext cx="1270000" cy="161925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217487</xdr:colOff>
      <xdr:row>4</xdr:row>
      <xdr:rowOff>0</xdr:rowOff>
    </xdr:from>
    <xdr:to>
      <xdr:col>10</xdr:col>
      <xdr:colOff>217487</xdr:colOff>
      <xdr:row>4</xdr:row>
      <xdr:rowOff>161925</xdr:rowOff>
    </xdr:to>
    <xdr:sp macro="" textlink="">
      <xdr:nvSpPr>
        <xdr:cNvPr id="8" name="Seta para a direita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6946900" y="742950"/>
          <a:ext cx="0" cy="161925"/>
        </a:xfrm>
        <a:prstGeom prst="rightArrow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153987</xdr:colOff>
      <xdr:row>4</xdr:row>
      <xdr:rowOff>9525</xdr:rowOff>
    </xdr:from>
    <xdr:to>
      <xdr:col>10</xdr:col>
      <xdr:colOff>141287</xdr:colOff>
      <xdr:row>4</xdr:row>
      <xdr:rowOff>161925</xdr:rowOff>
    </xdr:to>
    <xdr:sp macro="" textlink="">
      <xdr:nvSpPr>
        <xdr:cNvPr id="9" name="Seta para a esquerda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6235700" y="752475"/>
          <a:ext cx="635000" cy="152400"/>
        </a:xfrm>
        <a:prstGeom prst="leftArrow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115887</xdr:colOff>
      <xdr:row>2</xdr:row>
      <xdr:rowOff>9525</xdr:rowOff>
    </xdr:from>
    <xdr:to>
      <xdr:col>12</xdr:col>
      <xdr:colOff>115887</xdr:colOff>
      <xdr:row>2</xdr:row>
      <xdr:rowOff>161925</xdr:rowOff>
    </xdr:to>
    <xdr:sp macro="" textlink="">
      <xdr:nvSpPr>
        <xdr:cNvPr id="11" name="Seta para a esquerda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8140700" y="381000"/>
          <a:ext cx="0" cy="152400"/>
        </a:xfrm>
        <a:prstGeom prst="lef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179387</xdr:colOff>
      <xdr:row>15</xdr:row>
      <xdr:rowOff>161925</xdr:rowOff>
    </xdr:from>
    <xdr:to>
      <xdr:col>10</xdr:col>
      <xdr:colOff>350837</xdr:colOff>
      <xdr:row>17</xdr:row>
      <xdr:rowOff>47625</xdr:rowOff>
    </xdr:to>
    <xdr:sp macro="" textlink="">
      <xdr:nvSpPr>
        <xdr:cNvPr id="12" name="Seta para cima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6908800" y="2909888"/>
          <a:ext cx="171450" cy="247650"/>
        </a:xfrm>
        <a:prstGeom prst="upArrow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647700</xdr:colOff>
          <xdr:row>5</xdr:row>
          <xdr:rowOff>9525</xdr:rowOff>
        </xdr:from>
        <xdr:to>
          <xdr:col>2</xdr:col>
          <xdr:colOff>114300</xdr:colOff>
          <xdr:row>6</xdr:row>
          <xdr:rowOff>47625</xdr:rowOff>
        </xdr:to>
        <xdr:sp macro="" textlink="">
          <xdr:nvSpPr>
            <xdr:cNvPr id="5122" name="Button 2" descr="Iniciar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REINICIAR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657225</xdr:colOff>
          <xdr:row>6</xdr:row>
          <xdr:rowOff>76200</xdr:rowOff>
        </xdr:from>
        <xdr:to>
          <xdr:col>2</xdr:col>
          <xdr:colOff>114300</xdr:colOff>
          <xdr:row>7</xdr:row>
          <xdr:rowOff>114300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ANIMAR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3.bin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B2:N14"/>
  <sheetViews>
    <sheetView showGridLines="0" workbookViewId="0">
      <selection activeCell="L14" sqref="L14"/>
    </sheetView>
  </sheetViews>
  <sheetFormatPr defaultRowHeight="14.25" x14ac:dyDescent="0.45"/>
  <sheetData>
    <row r="2" spans="2:14" ht="14.65" thickBot="1" x14ac:dyDescent="0.5"/>
    <row r="3" spans="2:14" ht="22.5" x14ac:dyDescent="0.6">
      <c r="B3" s="46" t="s">
        <v>12</v>
      </c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8"/>
    </row>
    <row r="4" spans="2:14" ht="22.5" x14ac:dyDescent="0.6">
      <c r="B4" s="51" t="s">
        <v>13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3"/>
    </row>
    <row r="5" spans="2:14" ht="22.5" x14ac:dyDescent="0.6">
      <c r="B5" s="1"/>
      <c r="C5" s="2"/>
      <c r="D5" s="2"/>
      <c r="E5" s="4"/>
      <c r="F5" s="2"/>
      <c r="G5" s="2"/>
      <c r="H5" s="2"/>
      <c r="I5" s="2"/>
      <c r="J5" s="2"/>
      <c r="K5" s="2"/>
      <c r="L5" s="2"/>
      <c r="M5" s="2"/>
      <c r="N5" s="3"/>
    </row>
    <row r="6" spans="2:14" ht="22.5" x14ac:dyDescent="0.6">
      <c r="B6" s="1"/>
      <c r="C6" s="2"/>
      <c r="D6" s="2"/>
      <c r="E6" s="2"/>
      <c r="F6" s="14" t="s">
        <v>14</v>
      </c>
      <c r="G6" s="2"/>
      <c r="H6" s="2"/>
      <c r="I6" s="2"/>
      <c r="J6" s="2"/>
      <c r="K6" s="2"/>
      <c r="L6" s="2"/>
      <c r="M6" s="2"/>
      <c r="N6" s="3"/>
    </row>
    <row r="7" spans="2:14" ht="22.5" x14ac:dyDescent="0.6">
      <c r="B7" s="1"/>
      <c r="C7" s="2"/>
      <c r="D7" s="2"/>
      <c r="E7" s="2"/>
      <c r="F7" s="2"/>
      <c r="G7" s="2"/>
      <c r="H7" s="4" t="s">
        <v>0</v>
      </c>
      <c r="I7" s="2"/>
      <c r="J7" s="2"/>
      <c r="K7" s="2"/>
      <c r="L7" s="2"/>
      <c r="M7" s="2"/>
      <c r="N7" s="3"/>
    </row>
    <row r="8" spans="2:14" ht="22.5" x14ac:dyDescent="0.6">
      <c r="B8" s="1"/>
      <c r="C8" s="2"/>
      <c r="D8" s="2"/>
      <c r="E8" s="2"/>
      <c r="F8" s="14" t="s">
        <v>15</v>
      </c>
      <c r="G8" s="2"/>
      <c r="H8" s="2"/>
      <c r="I8" s="2"/>
      <c r="J8" s="2"/>
      <c r="K8" s="2"/>
      <c r="L8" s="2"/>
      <c r="M8" s="2"/>
      <c r="N8" s="3"/>
    </row>
    <row r="9" spans="2:14" x14ac:dyDescent="0.45">
      <c r="B9" s="1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3"/>
    </row>
    <row r="10" spans="2:14" ht="22.5" x14ac:dyDescent="0.6">
      <c r="B10" s="1"/>
      <c r="C10" s="2"/>
      <c r="D10" s="2"/>
      <c r="E10" s="2"/>
      <c r="F10" s="4" t="s">
        <v>1</v>
      </c>
      <c r="G10" s="2"/>
      <c r="H10" s="2"/>
      <c r="I10" s="2"/>
      <c r="J10" s="2"/>
      <c r="K10" s="2"/>
      <c r="L10" s="2"/>
      <c r="M10" s="2"/>
      <c r="N10" s="3"/>
    </row>
    <row r="11" spans="2:14" x14ac:dyDescent="0.45">
      <c r="B11" s="1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3"/>
    </row>
    <row r="12" spans="2:14" ht="15" customHeight="1" x14ac:dyDescent="0.45">
      <c r="B12" s="8" t="s">
        <v>2</v>
      </c>
      <c r="C12" s="2"/>
      <c r="D12" s="9" t="s">
        <v>3</v>
      </c>
      <c r="E12" s="2"/>
      <c r="F12" s="2"/>
      <c r="G12" s="2"/>
      <c r="H12" s="2"/>
      <c r="I12" s="2"/>
      <c r="J12" s="49" t="s">
        <v>6</v>
      </c>
      <c r="K12" s="49"/>
      <c r="L12" s="2"/>
      <c r="M12" s="2"/>
      <c r="N12" s="3"/>
    </row>
    <row r="13" spans="2:14" ht="15" customHeight="1" x14ac:dyDescent="0.45">
      <c r="B13" s="1"/>
      <c r="C13" s="2"/>
      <c r="D13" s="9" t="s">
        <v>4</v>
      </c>
      <c r="E13" s="2"/>
      <c r="F13" s="2"/>
      <c r="G13" s="2"/>
      <c r="H13" s="2"/>
      <c r="I13" s="2"/>
      <c r="J13" s="49"/>
      <c r="K13" s="49"/>
      <c r="L13" s="2"/>
      <c r="M13" s="2"/>
      <c r="N13" s="3"/>
    </row>
    <row r="14" spans="2:14" ht="15.75" customHeight="1" thickBot="1" x14ac:dyDescent="0.5">
      <c r="B14" s="5"/>
      <c r="C14" s="6"/>
      <c r="D14" s="10" t="s">
        <v>5</v>
      </c>
      <c r="E14" s="6"/>
      <c r="F14" s="6"/>
      <c r="G14" s="6"/>
      <c r="H14" s="6"/>
      <c r="I14" s="6"/>
      <c r="J14" s="50"/>
      <c r="K14" s="50"/>
      <c r="L14" s="6"/>
      <c r="M14" s="6"/>
      <c r="N14" s="7"/>
    </row>
  </sheetData>
  <mergeCells count="3">
    <mergeCell ref="B3:N3"/>
    <mergeCell ref="J12:K14"/>
    <mergeCell ref="B4:N4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6"/>
  <dimension ref="B2:G21"/>
  <sheetViews>
    <sheetView showGridLines="0" topLeftCell="A16" workbookViewId="0">
      <selection activeCell="A4" sqref="A4"/>
    </sheetView>
  </sheetViews>
  <sheetFormatPr defaultRowHeight="12.75" x14ac:dyDescent="0.35"/>
  <cols>
    <col min="1" max="2" width="9.1328125" style="17"/>
    <col min="3" max="3" width="55" style="16" customWidth="1"/>
    <col min="4" max="6" width="9.1328125" style="17"/>
    <col min="7" max="7" width="55" style="16" customWidth="1"/>
    <col min="8" max="8" width="9.1328125" style="17"/>
    <col min="9" max="9" width="1.265625" style="17" customWidth="1"/>
    <col min="10" max="258" width="9.1328125" style="17"/>
    <col min="259" max="259" width="55" style="17" customWidth="1"/>
    <col min="260" max="262" width="9.1328125" style="17"/>
    <col min="263" max="263" width="55" style="17" customWidth="1"/>
    <col min="264" max="264" width="9.1328125" style="17"/>
    <col min="265" max="265" width="1.265625" style="17" customWidth="1"/>
    <col min="266" max="514" width="9.1328125" style="17"/>
    <col min="515" max="515" width="55" style="17" customWidth="1"/>
    <col min="516" max="518" width="9.1328125" style="17"/>
    <col min="519" max="519" width="55" style="17" customWidth="1"/>
    <col min="520" max="520" width="9.1328125" style="17"/>
    <col min="521" max="521" width="1.265625" style="17" customWidth="1"/>
    <col min="522" max="770" width="9.1328125" style="17"/>
    <col min="771" max="771" width="55" style="17" customWidth="1"/>
    <col min="772" max="774" width="9.1328125" style="17"/>
    <col min="775" max="775" width="55" style="17" customWidth="1"/>
    <col min="776" max="776" width="9.1328125" style="17"/>
    <col min="777" max="777" width="1.265625" style="17" customWidth="1"/>
    <col min="778" max="1026" width="9.1328125" style="17"/>
    <col min="1027" max="1027" width="55" style="17" customWidth="1"/>
    <col min="1028" max="1030" width="9.1328125" style="17"/>
    <col min="1031" max="1031" width="55" style="17" customWidth="1"/>
    <col min="1032" max="1032" width="9.1328125" style="17"/>
    <col min="1033" max="1033" width="1.265625" style="17" customWidth="1"/>
    <col min="1034" max="1282" width="9.1328125" style="17"/>
    <col min="1283" max="1283" width="55" style="17" customWidth="1"/>
    <col min="1284" max="1286" width="9.1328125" style="17"/>
    <col min="1287" max="1287" width="55" style="17" customWidth="1"/>
    <col min="1288" max="1288" width="9.1328125" style="17"/>
    <col min="1289" max="1289" width="1.265625" style="17" customWidth="1"/>
    <col min="1290" max="1538" width="9.1328125" style="17"/>
    <col min="1539" max="1539" width="55" style="17" customWidth="1"/>
    <col min="1540" max="1542" width="9.1328125" style="17"/>
    <col min="1543" max="1543" width="55" style="17" customWidth="1"/>
    <col min="1544" max="1544" width="9.1328125" style="17"/>
    <col min="1545" max="1545" width="1.265625" style="17" customWidth="1"/>
    <col min="1546" max="1794" width="9.1328125" style="17"/>
    <col min="1795" max="1795" width="55" style="17" customWidth="1"/>
    <col min="1796" max="1798" width="9.1328125" style="17"/>
    <col min="1799" max="1799" width="55" style="17" customWidth="1"/>
    <col min="1800" max="1800" width="9.1328125" style="17"/>
    <col min="1801" max="1801" width="1.265625" style="17" customWidth="1"/>
    <col min="1802" max="2050" width="9.1328125" style="17"/>
    <col min="2051" max="2051" width="55" style="17" customWidth="1"/>
    <col min="2052" max="2054" width="9.1328125" style="17"/>
    <col min="2055" max="2055" width="55" style="17" customWidth="1"/>
    <col min="2056" max="2056" width="9.1328125" style="17"/>
    <col min="2057" max="2057" width="1.265625" style="17" customWidth="1"/>
    <col min="2058" max="2306" width="9.1328125" style="17"/>
    <col min="2307" max="2307" width="55" style="17" customWidth="1"/>
    <col min="2308" max="2310" width="9.1328125" style="17"/>
    <col min="2311" max="2311" width="55" style="17" customWidth="1"/>
    <col min="2312" max="2312" width="9.1328125" style="17"/>
    <col min="2313" max="2313" width="1.265625" style="17" customWidth="1"/>
    <col min="2314" max="2562" width="9.1328125" style="17"/>
    <col min="2563" max="2563" width="55" style="17" customWidth="1"/>
    <col min="2564" max="2566" width="9.1328125" style="17"/>
    <col min="2567" max="2567" width="55" style="17" customWidth="1"/>
    <col min="2568" max="2568" width="9.1328125" style="17"/>
    <col min="2569" max="2569" width="1.265625" style="17" customWidth="1"/>
    <col min="2570" max="2818" width="9.1328125" style="17"/>
    <col min="2819" max="2819" width="55" style="17" customWidth="1"/>
    <col min="2820" max="2822" width="9.1328125" style="17"/>
    <col min="2823" max="2823" width="55" style="17" customWidth="1"/>
    <col min="2824" max="2824" width="9.1328125" style="17"/>
    <col min="2825" max="2825" width="1.265625" style="17" customWidth="1"/>
    <col min="2826" max="3074" width="9.1328125" style="17"/>
    <col min="3075" max="3075" width="55" style="17" customWidth="1"/>
    <col min="3076" max="3078" width="9.1328125" style="17"/>
    <col min="3079" max="3079" width="55" style="17" customWidth="1"/>
    <col min="3080" max="3080" width="9.1328125" style="17"/>
    <col min="3081" max="3081" width="1.265625" style="17" customWidth="1"/>
    <col min="3082" max="3330" width="9.1328125" style="17"/>
    <col min="3331" max="3331" width="55" style="17" customWidth="1"/>
    <col min="3332" max="3334" width="9.1328125" style="17"/>
    <col min="3335" max="3335" width="55" style="17" customWidth="1"/>
    <col min="3336" max="3336" width="9.1328125" style="17"/>
    <col min="3337" max="3337" width="1.265625" style="17" customWidth="1"/>
    <col min="3338" max="3586" width="9.1328125" style="17"/>
    <col min="3587" max="3587" width="55" style="17" customWidth="1"/>
    <col min="3588" max="3590" width="9.1328125" style="17"/>
    <col min="3591" max="3591" width="55" style="17" customWidth="1"/>
    <col min="3592" max="3592" width="9.1328125" style="17"/>
    <col min="3593" max="3593" width="1.265625" style="17" customWidth="1"/>
    <col min="3594" max="3842" width="9.1328125" style="17"/>
    <col min="3843" max="3843" width="55" style="17" customWidth="1"/>
    <col min="3844" max="3846" width="9.1328125" style="17"/>
    <col min="3847" max="3847" width="55" style="17" customWidth="1"/>
    <col min="3848" max="3848" width="9.1328125" style="17"/>
    <col min="3849" max="3849" width="1.265625" style="17" customWidth="1"/>
    <col min="3850" max="4098" width="9.1328125" style="17"/>
    <col min="4099" max="4099" width="55" style="17" customWidth="1"/>
    <col min="4100" max="4102" width="9.1328125" style="17"/>
    <col min="4103" max="4103" width="55" style="17" customWidth="1"/>
    <col min="4104" max="4104" width="9.1328125" style="17"/>
    <col min="4105" max="4105" width="1.265625" style="17" customWidth="1"/>
    <col min="4106" max="4354" width="9.1328125" style="17"/>
    <col min="4355" max="4355" width="55" style="17" customWidth="1"/>
    <col min="4356" max="4358" width="9.1328125" style="17"/>
    <col min="4359" max="4359" width="55" style="17" customWidth="1"/>
    <col min="4360" max="4360" width="9.1328125" style="17"/>
    <col min="4361" max="4361" width="1.265625" style="17" customWidth="1"/>
    <col min="4362" max="4610" width="9.1328125" style="17"/>
    <col min="4611" max="4611" width="55" style="17" customWidth="1"/>
    <col min="4612" max="4614" width="9.1328125" style="17"/>
    <col min="4615" max="4615" width="55" style="17" customWidth="1"/>
    <col min="4616" max="4616" width="9.1328125" style="17"/>
    <col min="4617" max="4617" width="1.265625" style="17" customWidth="1"/>
    <col min="4618" max="4866" width="9.1328125" style="17"/>
    <col min="4867" max="4867" width="55" style="17" customWidth="1"/>
    <col min="4868" max="4870" width="9.1328125" style="17"/>
    <col min="4871" max="4871" width="55" style="17" customWidth="1"/>
    <col min="4872" max="4872" width="9.1328125" style="17"/>
    <col min="4873" max="4873" width="1.265625" style="17" customWidth="1"/>
    <col min="4874" max="5122" width="9.1328125" style="17"/>
    <col min="5123" max="5123" width="55" style="17" customWidth="1"/>
    <col min="5124" max="5126" width="9.1328125" style="17"/>
    <col min="5127" max="5127" width="55" style="17" customWidth="1"/>
    <col min="5128" max="5128" width="9.1328125" style="17"/>
    <col min="5129" max="5129" width="1.265625" style="17" customWidth="1"/>
    <col min="5130" max="5378" width="9.1328125" style="17"/>
    <col min="5379" max="5379" width="55" style="17" customWidth="1"/>
    <col min="5380" max="5382" width="9.1328125" style="17"/>
    <col min="5383" max="5383" width="55" style="17" customWidth="1"/>
    <col min="5384" max="5384" width="9.1328125" style="17"/>
    <col min="5385" max="5385" width="1.265625" style="17" customWidth="1"/>
    <col min="5386" max="5634" width="9.1328125" style="17"/>
    <col min="5635" max="5635" width="55" style="17" customWidth="1"/>
    <col min="5636" max="5638" width="9.1328125" style="17"/>
    <col min="5639" max="5639" width="55" style="17" customWidth="1"/>
    <col min="5640" max="5640" width="9.1328125" style="17"/>
    <col min="5641" max="5641" width="1.265625" style="17" customWidth="1"/>
    <col min="5642" max="5890" width="9.1328125" style="17"/>
    <col min="5891" max="5891" width="55" style="17" customWidth="1"/>
    <col min="5892" max="5894" width="9.1328125" style="17"/>
    <col min="5895" max="5895" width="55" style="17" customWidth="1"/>
    <col min="5896" max="5896" width="9.1328125" style="17"/>
    <col min="5897" max="5897" width="1.265625" style="17" customWidth="1"/>
    <col min="5898" max="6146" width="9.1328125" style="17"/>
    <col min="6147" max="6147" width="55" style="17" customWidth="1"/>
    <col min="6148" max="6150" width="9.1328125" style="17"/>
    <col min="6151" max="6151" width="55" style="17" customWidth="1"/>
    <col min="6152" max="6152" width="9.1328125" style="17"/>
    <col min="6153" max="6153" width="1.265625" style="17" customWidth="1"/>
    <col min="6154" max="6402" width="9.1328125" style="17"/>
    <col min="6403" max="6403" width="55" style="17" customWidth="1"/>
    <col min="6404" max="6406" width="9.1328125" style="17"/>
    <col min="6407" max="6407" width="55" style="17" customWidth="1"/>
    <col min="6408" max="6408" width="9.1328125" style="17"/>
    <col min="6409" max="6409" width="1.265625" style="17" customWidth="1"/>
    <col min="6410" max="6658" width="9.1328125" style="17"/>
    <col min="6659" max="6659" width="55" style="17" customWidth="1"/>
    <col min="6660" max="6662" width="9.1328125" style="17"/>
    <col min="6663" max="6663" width="55" style="17" customWidth="1"/>
    <col min="6664" max="6664" width="9.1328125" style="17"/>
    <col min="6665" max="6665" width="1.265625" style="17" customWidth="1"/>
    <col min="6666" max="6914" width="9.1328125" style="17"/>
    <col min="6915" max="6915" width="55" style="17" customWidth="1"/>
    <col min="6916" max="6918" width="9.1328125" style="17"/>
    <col min="6919" max="6919" width="55" style="17" customWidth="1"/>
    <col min="6920" max="6920" width="9.1328125" style="17"/>
    <col min="6921" max="6921" width="1.265625" style="17" customWidth="1"/>
    <col min="6922" max="7170" width="9.1328125" style="17"/>
    <col min="7171" max="7171" width="55" style="17" customWidth="1"/>
    <col min="7172" max="7174" width="9.1328125" style="17"/>
    <col min="7175" max="7175" width="55" style="17" customWidth="1"/>
    <col min="7176" max="7176" width="9.1328125" style="17"/>
    <col min="7177" max="7177" width="1.265625" style="17" customWidth="1"/>
    <col min="7178" max="7426" width="9.1328125" style="17"/>
    <col min="7427" max="7427" width="55" style="17" customWidth="1"/>
    <col min="7428" max="7430" width="9.1328125" style="17"/>
    <col min="7431" max="7431" width="55" style="17" customWidth="1"/>
    <col min="7432" max="7432" width="9.1328125" style="17"/>
    <col min="7433" max="7433" width="1.265625" style="17" customWidth="1"/>
    <col min="7434" max="7682" width="9.1328125" style="17"/>
    <col min="7683" max="7683" width="55" style="17" customWidth="1"/>
    <col min="7684" max="7686" width="9.1328125" style="17"/>
    <col min="7687" max="7687" width="55" style="17" customWidth="1"/>
    <col min="7688" max="7688" width="9.1328125" style="17"/>
    <col min="7689" max="7689" width="1.265625" style="17" customWidth="1"/>
    <col min="7690" max="7938" width="9.1328125" style="17"/>
    <col min="7939" max="7939" width="55" style="17" customWidth="1"/>
    <col min="7940" max="7942" width="9.1328125" style="17"/>
    <col min="7943" max="7943" width="55" style="17" customWidth="1"/>
    <col min="7944" max="7944" width="9.1328125" style="17"/>
    <col min="7945" max="7945" width="1.265625" style="17" customWidth="1"/>
    <col min="7946" max="8194" width="9.1328125" style="17"/>
    <col min="8195" max="8195" width="55" style="17" customWidth="1"/>
    <col min="8196" max="8198" width="9.1328125" style="17"/>
    <col min="8199" max="8199" width="55" style="17" customWidth="1"/>
    <col min="8200" max="8200" width="9.1328125" style="17"/>
    <col min="8201" max="8201" width="1.265625" style="17" customWidth="1"/>
    <col min="8202" max="8450" width="9.1328125" style="17"/>
    <col min="8451" max="8451" width="55" style="17" customWidth="1"/>
    <col min="8452" max="8454" width="9.1328125" style="17"/>
    <col min="8455" max="8455" width="55" style="17" customWidth="1"/>
    <col min="8456" max="8456" width="9.1328125" style="17"/>
    <col min="8457" max="8457" width="1.265625" style="17" customWidth="1"/>
    <col min="8458" max="8706" width="9.1328125" style="17"/>
    <col min="8707" max="8707" width="55" style="17" customWidth="1"/>
    <col min="8708" max="8710" width="9.1328125" style="17"/>
    <col min="8711" max="8711" width="55" style="17" customWidth="1"/>
    <col min="8712" max="8712" width="9.1328125" style="17"/>
    <col min="8713" max="8713" width="1.265625" style="17" customWidth="1"/>
    <col min="8714" max="8962" width="9.1328125" style="17"/>
    <col min="8963" max="8963" width="55" style="17" customWidth="1"/>
    <col min="8964" max="8966" width="9.1328125" style="17"/>
    <col min="8967" max="8967" width="55" style="17" customWidth="1"/>
    <col min="8968" max="8968" width="9.1328125" style="17"/>
    <col min="8969" max="8969" width="1.265625" style="17" customWidth="1"/>
    <col min="8970" max="9218" width="9.1328125" style="17"/>
    <col min="9219" max="9219" width="55" style="17" customWidth="1"/>
    <col min="9220" max="9222" width="9.1328125" style="17"/>
    <col min="9223" max="9223" width="55" style="17" customWidth="1"/>
    <col min="9224" max="9224" width="9.1328125" style="17"/>
    <col min="9225" max="9225" width="1.265625" style="17" customWidth="1"/>
    <col min="9226" max="9474" width="9.1328125" style="17"/>
    <col min="9475" max="9475" width="55" style="17" customWidth="1"/>
    <col min="9476" max="9478" width="9.1328125" style="17"/>
    <col min="9479" max="9479" width="55" style="17" customWidth="1"/>
    <col min="9480" max="9480" width="9.1328125" style="17"/>
    <col min="9481" max="9481" width="1.265625" style="17" customWidth="1"/>
    <col min="9482" max="9730" width="9.1328125" style="17"/>
    <col min="9731" max="9731" width="55" style="17" customWidth="1"/>
    <col min="9732" max="9734" width="9.1328125" style="17"/>
    <col min="9735" max="9735" width="55" style="17" customWidth="1"/>
    <col min="9736" max="9736" width="9.1328125" style="17"/>
    <col min="9737" max="9737" width="1.265625" style="17" customWidth="1"/>
    <col min="9738" max="9986" width="9.1328125" style="17"/>
    <col min="9987" max="9987" width="55" style="17" customWidth="1"/>
    <col min="9988" max="9990" width="9.1328125" style="17"/>
    <col min="9991" max="9991" width="55" style="17" customWidth="1"/>
    <col min="9992" max="9992" width="9.1328125" style="17"/>
    <col min="9993" max="9993" width="1.265625" style="17" customWidth="1"/>
    <col min="9994" max="10242" width="9.1328125" style="17"/>
    <col min="10243" max="10243" width="55" style="17" customWidth="1"/>
    <col min="10244" max="10246" width="9.1328125" style="17"/>
    <col min="10247" max="10247" width="55" style="17" customWidth="1"/>
    <col min="10248" max="10248" width="9.1328125" style="17"/>
    <col min="10249" max="10249" width="1.265625" style="17" customWidth="1"/>
    <col min="10250" max="10498" width="9.1328125" style="17"/>
    <col min="10499" max="10499" width="55" style="17" customWidth="1"/>
    <col min="10500" max="10502" width="9.1328125" style="17"/>
    <col min="10503" max="10503" width="55" style="17" customWidth="1"/>
    <col min="10504" max="10504" width="9.1328125" style="17"/>
    <col min="10505" max="10505" width="1.265625" style="17" customWidth="1"/>
    <col min="10506" max="10754" width="9.1328125" style="17"/>
    <col min="10755" max="10755" width="55" style="17" customWidth="1"/>
    <col min="10756" max="10758" width="9.1328125" style="17"/>
    <col min="10759" max="10759" width="55" style="17" customWidth="1"/>
    <col min="10760" max="10760" width="9.1328125" style="17"/>
    <col min="10761" max="10761" width="1.265625" style="17" customWidth="1"/>
    <col min="10762" max="11010" width="9.1328125" style="17"/>
    <col min="11011" max="11011" width="55" style="17" customWidth="1"/>
    <col min="11012" max="11014" width="9.1328125" style="17"/>
    <col min="11015" max="11015" width="55" style="17" customWidth="1"/>
    <col min="11016" max="11016" width="9.1328125" style="17"/>
    <col min="11017" max="11017" width="1.265625" style="17" customWidth="1"/>
    <col min="11018" max="11266" width="9.1328125" style="17"/>
    <col min="11267" max="11267" width="55" style="17" customWidth="1"/>
    <col min="11268" max="11270" width="9.1328125" style="17"/>
    <col min="11271" max="11271" width="55" style="17" customWidth="1"/>
    <col min="11272" max="11272" width="9.1328125" style="17"/>
    <col min="11273" max="11273" width="1.265625" style="17" customWidth="1"/>
    <col min="11274" max="11522" width="9.1328125" style="17"/>
    <col min="11523" max="11523" width="55" style="17" customWidth="1"/>
    <col min="11524" max="11526" width="9.1328125" style="17"/>
    <col min="11527" max="11527" width="55" style="17" customWidth="1"/>
    <col min="11528" max="11528" width="9.1328125" style="17"/>
    <col min="11529" max="11529" width="1.265625" style="17" customWidth="1"/>
    <col min="11530" max="11778" width="9.1328125" style="17"/>
    <col min="11779" max="11779" width="55" style="17" customWidth="1"/>
    <col min="11780" max="11782" width="9.1328125" style="17"/>
    <col min="11783" max="11783" width="55" style="17" customWidth="1"/>
    <col min="11784" max="11784" width="9.1328125" style="17"/>
    <col min="11785" max="11785" width="1.265625" style="17" customWidth="1"/>
    <col min="11786" max="12034" width="9.1328125" style="17"/>
    <col min="12035" max="12035" width="55" style="17" customWidth="1"/>
    <col min="12036" max="12038" width="9.1328125" style="17"/>
    <col min="12039" max="12039" width="55" style="17" customWidth="1"/>
    <col min="12040" max="12040" width="9.1328125" style="17"/>
    <col min="12041" max="12041" width="1.265625" style="17" customWidth="1"/>
    <col min="12042" max="12290" width="9.1328125" style="17"/>
    <col min="12291" max="12291" width="55" style="17" customWidth="1"/>
    <col min="12292" max="12294" width="9.1328125" style="17"/>
    <col min="12295" max="12295" width="55" style="17" customWidth="1"/>
    <col min="12296" max="12296" width="9.1328125" style="17"/>
    <col min="12297" max="12297" width="1.265625" style="17" customWidth="1"/>
    <col min="12298" max="12546" width="9.1328125" style="17"/>
    <col min="12547" max="12547" width="55" style="17" customWidth="1"/>
    <col min="12548" max="12550" width="9.1328125" style="17"/>
    <col min="12551" max="12551" width="55" style="17" customWidth="1"/>
    <col min="12552" max="12552" width="9.1328125" style="17"/>
    <col min="12553" max="12553" width="1.265625" style="17" customWidth="1"/>
    <col min="12554" max="12802" width="9.1328125" style="17"/>
    <col min="12803" max="12803" width="55" style="17" customWidth="1"/>
    <col min="12804" max="12806" width="9.1328125" style="17"/>
    <col min="12807" max="12807" width="55" style="17" customWidth="1"/>
    <col min="12808" max="12808" width="9.1328125" style="17"/>
    <col min="12809" max="12809" width="1.265625" style="17" customWidth="1"/>
    <col min="12810" max="13058" width="9.1328125" style="17"/>
    <col min="13059" max="13059" width="55" style="17" customWidth="1"/>
    <col min="13060" max="13062" width="9.1328125" style="17"/>
    <col min="13063" max="13063" width="55" style="17" customWidth="1"/>
    <col min="13064" max="13064" width="9.1328125" style="17"/>
    <col min="13065" max="13065" width="1.265625" style="17" customWidth="1"/>
    <col min="13066" max="13314" width="9.1328125" style="17"/>
    <col min="13315" max="13315" width="55" style="17" customWidth="1"/>
    <col min="13316" max="13318" width="9.1328125" style="17"/>
    <col min="13319" max="13319" width="55" style="17" customWidth="1"/>
    <col min="13320" max="13320" width="9.1328125" style="17"/>
    <col min="13321" max="13321" width="1.265625" style="17" customWidth="1"/>
    <col min="13322" max="13570" width="9.1328125" style="17"/>
    <col min="13571" max="13571" width="55" style="17" customWidth="1"/>
    <col min="13572" max="13574" width="9.1328125" style="17"/>
    <col min="13575" max="13575" width="55" style="17" customWidth="1"/>
    <col min="13576" max="13576" width="9.1328125" style="17"/>
    <col min="13577" max="13577" width="1.265625" style="17" customWidth="1"/>
    <col min="13578" max="13826" width="9.1328125" style="17"/>
    <col min="13827" max="13827" width="55" style="17" customWidth="1"/>
    <col min="13828" max="13830" width="9.1328125" style="17"/>
    <col min="13831" max="13831" width="55" style="17" customWidth="1"/>
    <col min="13832" max="13832" width="9.1328125" style="17"/>
    <col min="13833" max="13833" width="1.265625" style="17" customWidth="1"/>
    <col min="13834" max="14082" width="9.1328125" style="17"/>
    <col min="14083" max="14083" width="55" style="17" customWidth="1"/>
    <col min="14084" max="14086" width="9.1328125" style="17"/>
    <col min="14087" max="14087" width="55" style="17" customWidth="1"/>
    <col min="14088" max="14088" width="9.1328125" style="17"/>
    <col min="14089" max="14089" width="1.265625" style="17" customWidth="1"/>
    <col min="14090" max="14338" width="9.1328125" style="17"/>
    <col min="14339" max="14339" width="55" style="17" customWidth="1"/>
    <col min="14340" max="14342" width="9.1328125" style="17"/>
    <col min="14343" max="14343" width="55" style="17" customWidth="1"/>
    <col min="14344" max="14344" width="9.1328125" style="17"/>
    <col min="14345" max="14345" width="1.265625" style="17" customWidth="1"/>
    <col min="14346" max="14594" width="9.1328125" style="17"/>
    <col min="14595" max="14595" width="55" style="17" customWidth="1"/>
    <col min="14596" max="14598" width="9.1328125" style="17"/>
    <col min="14599" max="14599" width="55" style="17" customWidth="1"/>
    <col min="14600" max="14600" width="9.1328125" style="17"/>
    <col min="14601" max="14601" width="1.265625" style="17" customWidth="1"/>
    <col min="14602" max="14850" width="9.1328125" style="17"/>
    <col min="14851" max="14851" width="55" style="17" customWidth="1"/>
    <col min="14852" max="14854" width="9.1328125" style="17"/>
    <col min="14855" max="14855" width="55" style="17" customWidth="1"/>
    <col min="14856" max="14856" width="9.1328125" style="17"/>
    <col min="14857" max="14857" width="1.265625" style="17" customWidth="1"/>
    <col min="14858" max="15106" width="9.1328125" style="17"/>
    <col min="15107" max="15107" width="55" style="17" customWidth="1"/>
    <col min="15108" max="15110" width="9.1328125" style="17"/>
    <col min="15111" max="15111" width="55" style="17" customWidth="1"/>
    <col min="15112" max="15112" width="9.1328125" style="17"/>
    <col min="15113" max="15113" width="1.265625" style="17" customWidth="1"/>
    <col min="15114" max="15362" width="9.1328125" style="17"/>
    <col min="15363" max="15363" width="55" style="17" customWidth="1"/>
    <col min="15364" max="15366" width="9.1328125" style="17"/>
    <col min="15367" max="15367" width="55" style="17" customWidth="1"/>
    <col min="15368" max="15368" width="9.1328125" style="17"/>
    <col min="15369" max="15369" width="1.265625" style="17" customWidth="1"/>
    <col min="15370" max="15618" width="9.1328125" style="17"/>
    <col min="15619" max="15619" width="55" style="17" customWidth="1"/>
    <col min="15620" max="15622" width="9.1328125" style="17"/>
    <col min="15623" max="15623" width="55" style="17" customWidth="1"/>
    <col min="15624" max="15624" width="9.1328125" style="17"/>
    <col min="15625" max="15625" width="1.265625" style="17" customWidth="1"/>
    <col min="15626" max="15874" width="9.1328125" style="17"/>
    <col min="15875" max="15875" width="55" style="17" customWidth="1"/>
    <col min="15876" max="15878" width="9.1328125" style="17"/>
    <col min="15879" max="15879" width="55" style="17" customWidth="1"/>
    <col min="15880" max="15880" width="9.1328125" style="17"/>
    <col min="15881" max="15881" width="1.265625" style="17" customWidth="1"/>
    <col min="15882" max="16130" width="9.1328125" style="17"/>
    <col min="16131" max="16131" width="55" style="17" customWidth="1"/>
    <col min="16132" max="16134" width="9.1328125" style="17"/>
    <col min="16135" max="16135" width="55" style="17" customWidth="1"/>
    <col min="16136" max="16136" width="9.1328125" style="17"/>
    <col min="16137" max="16137" width="1.265625" style="17" customWidth="1"/>
    <col min="16138" max="16384" width="9.1328125" style="17"/>
  </cols>
  <sheetData>
    <row r="2" spans="2:7" ht="22.5" x14ac:dyDescent="0.6">
      <c r="B2" s="15" t="s">
        <v>16</v>
      </c>
      <c r="F2" s="15" t="s">
        <v>17</v>
      </c>
    </row>
    <row r="3" spans="2:7" ht="4.5" customHeight="1" x14ac:dyDescent="0.35"/>
    <row r="4" spans="2:7" ht="89.25" x14ac:dyDescent="0.35">
      <c r="C4" s="18" t="s">
        <v>18</v>
      </c>
      <c r="G4" s="18" t="s">
        <v>19</v>
      </c>
    </row>
    <row r="5" spans="2:7" ht="102" x14ac:dyDescent="0.35">
      <c r="G5" s="18" t="s">
        <v>20</v>
      </c>
    </row>
    <row r="6" spans="2:7" ht="9.75" customHeight="1" x14ac:dyDescent="0.6">
      <c r="B6" s="15"/>
    </row>
    <row r="7" spans="2:7" ht="22.5" x14ac:dyDescent="0.6">
      <c r="B7" s="15" t="s">
        <v>21</v>
      </c>
      <c r="F7" s="15" t="s">
        <v>22</v>
      </c>
    </row>
    <row r="8" spans="2:7" ht="23.25" customHeight="1" x14ac:dyDescent="0.6">
      <c r="B8" s="15"/>
      <c r="C8" s="18"/>
      <c r="F8" s="19" t="s">
        <v>23</v>
      </c>
    </row>
    <row r="9" spans="2:7" ht="38.25" x14ac:dyDescent="0.35">
      <c r="C9" s="18" t="s">
        <v>24</v>
      </c>
    </row>
    <row r="10" spans="2:7" ht="63.75" x14ac:dyDescent="0.35">
      <c r="C10" s="20" t="s">
        <v>25</v>
      </c>
      <c r="G10" s="18" t="s">
        <v>26</v>
      </c>
    </row>
    <row r="11" spans="2:7" x14ac:dyDescent="0.35">
      <c r="G11" s="18"/>
    </row>
    <row r="21" spans="3:3" x14ac:dyDescent="0.35">
      <c r="C21" s="18" t="s">
        <v>27</v>
      </c>
    </row>
  </sheetData>
  <pageMargins left="0.78740157499999996" right="0.78740157499999996" top="0.984251969" bottom="0.984251969" header="0.49212598499999999" footer="0.49212598499999999"/>
  <pageSetup paperSize="9" orientation="portrait" horizontalDpi="300" verticalDpi="300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DSMT4" shapeId="6145" r:id="rId4">
          <objectPr defaultSize="0" autoPict="0" r:id="rId5">
            <anchor moveWithCells="1">
              <from>
                <xdr:col>2</xdr:col>
                <xdr:colOff>9525</xdr:colOff>
                <xdr:row>4</xdr:row>
                <xdr:rowOff>114300</xdr:rowOff>
              </from>
              <to>
                <xdr:col>2</xdr:col>
                <xdr:colOff>3190875</xdr:colOff>
                <xdr:row>4</xdr:row>
                <xdr:rowOff>1009650</xdr:rowOff>
              </to>
            </anchor>
          </objectPr>
        </oleObject>
      </mc:Choice>
      <mc:Fallback>
        <oleObject progId="Equation.DSMT4" shapeId="6145" r:id="rId4"/>
      </mc:Fallback>
    </mc:AlternateContent>
    <mc:AlternateContent xmlns:mc="http://schemas.openxmlformats.org/markup-compatibility/2006">
      <mc:Choice Requires="x14">
        <oleObject progId="Equation.DSMT4" shapeId="6146" r:id="rId6">
          <objectPr defaultSize="0" autoPict="0" r:id="rId7">
            <anchor moveWithCells="1">
              <from>
                <xdr:col>1</xdr:col>
                <xdr:colOff>600075</xdr:colOff>
                <xdr:row>21</xdr:row>
                <xdr:rowOff>76200</xdr:rowOff>
              </from>
              <to>
                <xdr:col>2</xdr:col>
                <xdr:colOff>2324100</xdr:colOff>
                <xdr:row>31</xdr:row>
                <xdr:rowOff>133350</xdr:rowOff>
              </to>
            </anchor>
          </objectPr>
        </oleObject>
      </mc:Choice>
      <mc:Fallback>
        <oleObject progId="Equation.DSMT4" shapeId="6146" r:id="rId6"/>
      </mc:Fallback>
    </mc:AlternateContent>
    <mc:AlternateContent xmlns:mc="http://schemas.openxmlformats.org/markup-compatibility/2006">
      <mc:Choice Requires="x14">
        <oleObject progId="Equation.DSMT4" shapeId="6147" r:id="rId8">
          <objectPr defaultSize="0" autoPict="0" r:id="rId9">
            <anchor moveWithCells="1">
              <from>
                <xdr:col>6</xdr:col>
                <xdr:colOff>28575</xdr:colOff>
                <xdr:row>11</xdr:row>
                <xdr:rowOff>0</xdr:rowOff>
              </from>
              <to>
                <xdr:col>7</xdr:col>
                <xdr:colOff>304800</xdr:colOff>
                <xdr:row>50</xdr:row>
                <xdr:rowOff>142875</xdr:rowOff>
              </to>
            </anchor>
          </objectPr>
        </oleObject>
      </mc:Choice>
      <mc:Fallback>
        <oleObject progId="Equation.DSMT4" shapeId="6147" r:id="rId8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5"/>
  <dimension ref="D1:M8"/>
  <sheetViews>
    <sheetView showGridLines="0" tabSelected="1" workbookViewId="0">
      <selection activeCell="B8" sqref="B8"/>
    </sheetView>
  </sheetViews>
  <sheetFormatPr defaultRowHeight="14.25" x14ac:dyDescent="0.45"/>
  <cols>
    <col min="1" max="1" width="13.59765625" customWidth="1"/>
    <col min="2" max="2" width="7.265625" customWidth="1"/>
    <col min="3" max="3" width="9.86328125" customWidth="1"/>
    <col min="13" max="13" width="17" customWidth="1"/>
  </cols>
  <sheetData>
    <row r="1" spans="4:13" ht="14.65" thickBot="1" x14ac:dyDescent="0.5">
      <c r="D1" s="11" t="s">
        <v>7</v>
      </c>
      <c r="E1" s="12">
        <v>5</v>
      </c>
    </row>
    <row r="2" spans="4:13" ht="14.65" thickBot="1" x14ac:dyDescent="0.5">
      <c r="D2" s="11" t="s">
        <v>65</v>
      </c>
      <c r="E2" s="12">
        <v>10</v>
      </c>
      <c r="K2" s="54" t="s">
        <v>64</v>
      </c>
      <c r="L2" s="55"/>
      <c r="M2" s="44"/>
    </row>
    <row r="3" spans="4:13" ht="14.65" thickBot="1" x14ac:dyDescent="0.5">
      <c r="D3" s="11" t="s">
        <v>61</v>
      </c>
      <c r="E3" s="12">
        <v>1</v>
      </c>
    </row>
    <row r="4" spans="4:13" ht="14.65" thickBot="1" x14ac:dyDescent="0.5">
      <c r="D4" s="13" t="s">
        <v>62</v>
      </c>
      <c r="E4" s="12">
        <v>1</v>
      </c>
      <c r="K4" s="54" t="s">
        <v>63</v>
      </c>
      <c r="L4" s="55"/>
      <c r="M4" s="44"/>
    </row>
    <row r="5" spans="4:13" ht="14.65" thickBot="1" x14ac:dyDescent="0.5">
      <c r="D5" s="13" t="s">
        <v>66</v>
      </c>
      <c r="E5" s="12">
        <v>0.1</v>
      </c>
    </row>
    <row r="6" spans="4:13" ht="14.65" thickBot="1" x14ac:dyDescent="0.5">
      <c r="D6" s="13" t="s">
        <v>67</v>
      </c>
      <c r="E6" s="12">
        <v>-1</v>
      </c>
    </row>
    <row r="7" spans="4:13" ht="14.65" thickBot="1" x14ac:dyDescent="0.5">
      <c r="D7" s="45" t="s">
        <v>68</v>
      </c>
      <c r="E7" s="12">
        <v>0</v>
      </c>
    </row>
    <row r="8" spans="4:13" x14ac:dyDescent="0.45">
      <c r="K8" s="2"/>
      <c r="L8" s="2"/>
      <c r="M8" s="43"/>
    </row>
  </sheetData>
  <mergeCells count="2">
    <mergeCell ref="K2:L2"/>
    <mergeCell ref="K4:L4"/>
  </mergeCells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Iniciar" altText="Iniciar">
                <anchor moveWithCells="1" sizeWithCells="1">
                  <from>
                    <xdr:col>0</xdr:col>
                    <xdr:colOff>647700</xdr:colOff>
                    <xdr:row>5</xdr:row>
                    <xdr:rowOff>9525</xdr:rowOff>
                  </from>
                  <to>
                    <xdr:col>2</xdr:col>
                    <xdr:colOff>114300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Animar">
                <anchor moveWithCells="1">
                  <from>
                    <xdr:col>0</xdr:col>
                    <xdr:colOff>657225</xdr:colOff>
                    <xdr:row>6</xdr:row>
                    <xdr:rowOff>76200</xdr:rowOff>
                  </from>
                  <to>
                    <xdr:col>2</xdr:col>
                    <xdr:colOff>114300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2"/>
  <dimension ref="A2:Q105"/>
  <sheetViews>
    <sheetView topLeftCell="B1" workbookViewId="0">
      <selection activeCell="F31" sqref="F31"/>
    </sheetView>
  </sheetViews>
  <sheetFormatPr defaultRowHeight="14.25" x14ac:dyDescent="0.45"/>
  <cols>
    <col min="2" max="2" width="18.1328125" bestFit="1" customWidth="1"/>
    <col min="3" max="3" width="4.1328125" customWidth="1"/>
    <col min="4" max="5" width="4" bestFit="1" customWidth="1"/>
    <col min="6" max="6" width="37.265625" bestFit="1" customWidth="1"/>
    <col min="7" max="7" width="36" bestFit="1" customWidth="1"/>
    <col min="8" max="10" width="37.265625" bestFit="1" customWidth="1"/>
    <col min="11" max="11" width="37" bestFit="1" customWidth="1"/>
    <col min="12" max="12" width="4.1328125" customWidth="1"/>
    <col min="13" max="13" width="10.59765625" bestFit="1" customWidth="1"/>
    <col min="14" max="14" width="5.86328125" bestFit="1" customWidth="1"/>
    <col min="15" max="16" width="36" bestFit="1" customWidth="1"/>
    <col min="17" max="17" width="36.265625" bestFit="1" customWidth="1"/>
  </cols>
  <sheetData>
    <row r="2" spans="1:17" x14ac:dyDescent="0.45">
      <c r="D2" s="34" t="s">
        <v>52</v>
      </c>
      <c r="E2" s="34" t="s">
        <v>51</v>
      </c>
      <c r="F2" s="34" t="s">
        <v>50</v>
      </c>
      <c r="G2" s="34" t="s">
        <v>49</v>
      </c>
      <c r="H2" s="34" t="s">
        <v>48</v>
      </c>
      <c r="I2" s="34" t="s">
        <v>47</v>
      </c>
      <c r="J2" s="34" t="s">
        <v>46</v>
      </c>
      <c r="K2" s="34" t="s">
        <v>45</v>
      </c>
      <c r="L2" s="34"/>
      <c r="M2" s="34" t="s">
        <v>44</v>
      </c>
      <c r="N2" s="34" t="s">
        <v>43</v>
      </c>
      <c r="O2" s="35" t="s">
        <v>42</v>
      </c>
      <c r="P2" s="34" t="s">
        <v>41</v>
      </c>
      <c r="Q2" s="34" t="s">
        <v>40</v>
      </c>
    </row>
    <row r="3" spans="1:17" x14ac:dyDescent="0.45">
      <c r="A3" s="31" t="s">
        <v>39</v>
      </c>
      <c r="B3" s="27">
        <v>0</v>
      </c>
      <c r="D3" s="27">
        <v>0</v>
      </c>
      <c r="E3" s="26">
        <f>B3</f>
        <v>0</v>
      </c>
      <c r="F3" s="33" t="str">
        <f>B5</f>
        <v>5-2,5i</v>
      </c>
      <c r="G3" s="24" t="str">
        <f t="shared" ref="G3:G34" si="0">IMSUM(F3,IMPRODUCT((IMSUM(H3,IMPRODUCT(2,I3),IMPRODUCT(2,J3),K3)),$B$4/6))</f>
        <v>4,72294166501764-2,98659378471788i</v>
      </c>
      <c r="H3" s="24" t="str">
        <f>IMSUM((1/2)*(($B$7/$B$6)^(1/2))*$B$8*SIN(E3)/$B$7,IMPRODUCT(COMPLEX(0,-1),(($B$6/$B$7)^(1/2)),F3))</f>
        <v>-2,5-5i</v>
      </c>
      <c r="I3" s="24" t="str">
        <f>IMSUM((1/2)*(($B$7/$B$6)^(1/2))*$B$8*SIN(M3)/$B$7,IMPRODUCT(COMPLEX(0,-1),(($B$6/$B$7)^(1/2)),O3))</f>
        <v>-2,77498958463534-4,875i</v>
      </c>
      <c r="J3" s="24" t="str">
        <f>IMSUM((1/2)*(($B$7/$B$6)^(1/2))*$B$8*SIN(M3)/$B$7,IMPRODUCT(COMPLEX(0,-1),(($B$6/$B$7)^(1/2)),P3))</f>
        <v>-2,76873958463534-4,86125052076823i</v>
      </c>
      <c r="K3" s="24" t="str">
        <f>IMSUM((1/2)*(($B$7/$B$6)^(1/2))*$B$8*SIN(N3)/$B$7,IMPRODUCT(COMPLEX(0,-1),(($B$6/$B$7)^(1/2)),Q3))</f>
        <v>-3,03604176040023-4,72312604153647i</v>
      </c>
      <c r="L3" s="25"/>
      <c r="M3" s="24">
        <f t="shared" ref="M3:M34" si="1">E3+(1/2)*$B$4</f>
        <v>0.05</v>
      </c>
      <c r="N3" s="24">
        <f t="shared" ref="N3:N34" si="2">E3+$B$4</f>
        <v>0.1</v>
      </c>
      <c r="O3" s="24" t="str">
        <f t="shared" ref="O3:O34" si="3">IMSUM(F3,IMPRODUCT(1/2,H3,$B$4))</f>
        <v>4,875-2,75i</v>
      </c>
      <c r="P3" s="24" t="str">
        <f t="shared" ref="P3:P34" si="4">IMSUM(F3,IMPRODUCT(1/2,I3,$B$4))</f>
        <v>4,86125052076823-2,74375i</v>
      </c>
      <c r="Q3" s="24" t="str">
        <f t="shared" ref="Q3:Q34" si="5">IMSUM(F3,IMPRODUCT(J3,$B$4))</f>
        <v>4,72312604153647-2,98612505207682i</v>
      </c>
    </row>
    <row r="4" spans="1:17" x14ac:dyDescent="0.45">
      <c r="A4" s="31" t="s">
        <v>38</v>
      </c>
      <c r="B4" s="27">
        <v>0.1</v>
      </c>
      <c r="D4" s="27">
        <v>1</v>
      </c>
      <c r="E4" s="26">
        <f t="shared" ref="E4:E35" si="6">D4*$B$4+$B$3</f>
        <v>0.1</v>
      </c>
      <c r="F4" s="24" t="str">
        <f t="shared" ref="F4:F35" si="7">G3</f>
        <v>4,72294166501764-2,98659378471788i</v>
      </c>
      <c r="G4" s="24" t="str">
        <f t="shared" si="0"/>
        <v>4,3937266151119-3,44284821941095i</v>
      </c>
      <c r="H4" s="24" t="str">
        <f t="shared" ref="H4:H67" si="8">IMSUM((1/2)*(($B$7/$B$6)^(1/2))*$B$8*SIN(E4)/$B$7,IMPRODUCT(COMPLEX(0,-1),(($B$6/$B$7)^(1/2)),F4))</f>
        <v>-3,03651049304129-4,72294166501764i</v>
      </c>
      <c r="I4" s="24" t="str">
        <f t="shared" ref="I4:I67" si="9">IMSUM((1/2)*(($B$7/$B$6)^(1/2))*$B$8*SIN(M4)/$B$7,IMPRODUCT(COMPLEX(0,-1),(($B$6/$B$7)^(1/2)),O4))</f>
        <v>-3,29745993420556-4,57111614036558i</v>
      </c>
      <c r="J4" s="24" t="str">
        <f t="shared" ref="J4:J67" si="10">IMSUM((1/2)*(($B$7/$B$6)^(1/2))*$B$8*SIN(M4)/$B$7,IMPRODUCT(COMPLEX(0,-1),(($B$6/$B$7)^(1/2)),P4))</f>
        <v>-3,28986865797296-4,55806866830736i</v>
      </c>
      <c r="K4" s="24" t="str">
        <f t="shared" ref="K4:K67" si="11">IMSUM((1/2)*(($B$7/$B$6)^(1/2))*$B$8*SIN(N4)/$B$7,IMPRODUCT(COMPLEX(0,-1),(($B$6/$B$7)^(1/2)),Q4))</f>
        <v>-3,54173531694615-4,39395479922034i</v>
      </c>
      <c r="L4" s="25"/>
      <c r="M4" s="24">
        <f t="shared" si="1"/>
        <v>0.15000000000000002</v>
      </c>
      <c r="N4" s="24">
        <f t="shared" si="2"/>
        <v>0.2</v>
      </c>
      <c r="O4" s="24" t="str">
        <f t="shared" si="3"/>
        <v>4,57111614036558-3,22274086796876i</v>
      </c>
      <c r="P4" s="24" t="str">
        <f t="shared" si="4"/>
        <v>4,55806866830736-3,21514959173616i</v>
      </c>
      <c r="Q4" s="24" t="str">
        <f t="shared" si="5"/>
        <v>4,39395479922034-3,44240065154862i</v>
      </c>
    </row>
    <row r="5" spans="1:17" x14ac:dyDescent="0.45">
      <c r="A5" s="31" t="s">
        <v>37</v>
      </c>
      <c r="B5" s="32" t="str">
        <f>IMPRODUCT(1/2,COMPLEX(((B7/B6)^(1/2))*'Calculo Final'!B9,-1*'Calculo Final'!B5))</f>
        <v>5-2,5i</v>
      </c>
      <c r="D5" s="27">
        <v>2</v>
      </c>
      <c r="E5" s="26">
        <f t="shared" si="6"/>
        <v>0.2</v>
      </c>
      <c r="F5" s="24" t="str">
        <f t="shared" si="7"/>
        <v>4,3937266151119-3,44284821941095i</v>
      </c>
      <c r="G5" s="24" t="str">
        <f t="shared" si="0"/>
        <v>4,01571881692584-3,8637112134435i</v>
      </c>
      <c r="H5" s="24" t="str">
        <f t="shared" si="8"/>
        <v>-3,54218288480848-4,3937266151119i</v>
      </c>
      <c r="I5" s="24" t="str">
        <f t="shared" si="9"/>
        <v>-3,78623652979381-4,21661747087148i</v>
      </c>
      <c r="J5" s="24" t="str">
        <f t="shared" si="10"/>
        <v>-3,77738107258178-4,20441478862221i</v>
      </c>
      <c r="K5" s="24" t="str">
        <f t="shared" si="11"/>
        <v>-4,01104980160384-4,01598850785372i</v>
      </c>
      <c r="L5" s="25"/>
      <c r="M5" s="24">
        <f t="shared" si="1"/>
        <v>0.25</v>
      </c>
      <c r="N5" s="24">
        <f t="shared" si="2"/>
        <v>0.30000000000000004</v>
      </c>
      <c r="O5" s="24" t="str">
        <f t="shared" si="3"/>
        <v>4,21661747087148-3,66253455016655i</v>
      </c>
      <c r="P5" s="24" t="str">
        <f t="shared" si="4"/>
        <v>4,20441478862221-3,65367909295452i</v>
      </c>
      <c r="Q5" s="24" t="str">
        <f t="shared" si="5"/>
        <v>4,01598850785372-3,86328969827317i</v>
      </c>
    </row>
    <row r="6" spans="1:17" x14ac:dyDescent="0.45">
      <c r="A6" s="31" t="s">
        <v>36</v>
      </c>
      <c r="B6" s="27">
        <f>'Calculo Final'!B6</f>
        <v>1</v>
      </c>
      <c r="D6" s="27">
        <v>3</v>
      </c>
      <c r="E6" s="26">
        <f t="shared" si="6"/>
        <v>0.30000000000000004</v>
      </c>
      <c r="F6" s="24" t="str">
        <f t="shared" si="7"/>
        <v>4,01571881692584-3,8637112134435i</v>
      </c>
      <c r="G6" s="24" t="str">
        <f t="shared" si="0"/>
        <v>3,5928186381215-4,24449420387856i</v>
      </c>
      <c r="H6" s="24" t="str">
        <f t="shared" si="8"/>
        <v>-4,01147131677417-4,01571881692584i</v>
      </c>
      <c r="I6" s="24" t="str">
        <f t="shared" si="9"/>
        <v>-4,23594605801752-3,81514525108713i</v>
      </c>
      <c r="J6" s="24" t="str">
        <f t="shared" si="10"/>
        <v>-4,22591737972559-3,80392151402496i</v>
      </c>
      <c r="K6" s="24" t="str">
        <f t="shared" si="11"/>
        <v>-4,43881253600032-3,59312707895328i</v>
      </c>
      <c r="L6" s="25"/>
      <c r="M6" s="24">
        <f t="shared" si="1"/>
        <v>0.35000000000000003</v>
      </c>
      <c r="N6" s="24">
        <f t="shared" si="2"/>
        <v>0.4</v>
      </c>
      <c r="O6" s="24" t="str">
        <f t="shared" si="3"/>
        <v>3,81514525108713-4,06449715428979i</v>
      </c>
      <c r="P6" s="24" t="str">
        <f t="shared" si="4"/>
        <v>3,80392151402496-4,05446847599786i</v>
      </c>
      <c r="Q6" s="24" t="str">
        <f t="shared" si="5"/>
        <v>3,59312707895328-4,244103364846i</v>
      </c>
    </row>
    <row r="7" spans="1:17" x14ac:dyDescent="0.45">
      <c r="A7" s="31" t="s">
        <v>35</v>
      </c>
      <c r="B7" s="27">
        <f>'Calculo Final'!B7</f>
        <v>1</v>
      </c>
      <c r="D7" s="27">
        <v>4</v>
      </c>
      <c r="E7" s="26">
        <f t="shared" si="6"/>
        <v>0.4</v>
      </c>
      <c r="F7" s="24" t="str">
        <f t="shared" si="7"/>
        <v>3,5928186381215-4,24449420387856i</v>
      </c>
      <c r="G7" s="24" t="str">
        <f t="shared" si="0"/>
        <v>3,12942264283821-4,58092383240358i</v>
      </c>
      <c r="H7" s="24" t="str">
        <f t="shared" si="8"/>
        <v>-4,43920337503288-3,5928186381215i</v>
      </c>
      <c r="I7" s="24" t="str">
        <f t="shared" si="9"/>
        <v>-4,64161790284025-3,37085846936986i</v>
      </c>
      <c r="J7" s="24" t="str">
        <f t="shared" si="10"/>
        <v>-4,63051989440267-3,36073774297949i</v>
      </c>
      <c r="K7" s="24" t="str">
        <f t="shared" si="11"/>
        <v>-4,82028074747861-3,12976664868123i</v>
      </c>
      <c r="L7" s="25"/>
      <c r="M7" s="24">
        <f t="shared" si="1"/>
        <v>0.45</v>
      </c>
      <c r="N7" s="24">
        <f t="shared" si="2"/>
        <v>0.5</v>
      </c>
      <c r="O7" s="24" t="str">
        <f t="shared" si="3"/>
        <v>3,37085846936986-4,42413513578463i</v>
      </c>
      <c r="P7" s="24" t="str">
        <f t="shared" si="4"/>
        <v>3,36073774297949-4,41303712734705i</v>
      </c>
      <c r="Q7" s="24" t="str">
        <f t="shared" si="5"/>
        <v>3,12976664868123-4,58056797817651i</v>
      </c>
    </row>
    <row r="8" spans="1:17" x14ac:dyDescent="0.45">
      <c r="A8" s="30" t="s">
        <v>34</v>
      </c>
      <c r="B8" s="29">
        <f>'Calculo Final'!B8</f>
        <v>-1</v>
      </c>
      <c r="D8" s="27">
        <v>5</v>
      </c>
      <c r="E8" s="26">
        <f t="shared" si="6"/>
        <v>0.5</v>
      </c>
      <c r="F8" s="24" t="str">
        <f t="shared" si="7"/>
        <v>3,12942264283821-4,58092383240358i</v>
      </c>
      <c r="G8" s="24" t="str">
        <f t="shared" si="0"/>
        <v>2,63037795325104-4,86918932640703i</v>
      </c>
      <c r="H8" s="24" t="str">
        <f t="shared" si="8"/>
        <v>-4,82063660170568-3,12942264283821i</v>
      </c>
      <c r="I8" s="24" t="str">
        <f t="shared" si="9"/>
        <v>-4,99873857901082-2,88839081275293i</v>
      </c>
      <c r="J8" s="24" t="str">
        <f t="shared" si="10"/>
        <v>-4,98668698750656-2,87948571388767i</v>
      </c>
      <c r="K8" s="24" t="str">
        <f t="shared" si="11"/>
        <v>-5,15119364048987-2,63075394408755i</v>
      </c>
      <c r="L8" s="25"/>
      <c r="M8" s="24">
        <f t="shared" si="1"/>
        <v>0.55000000000000004</v>
      </c>
      <c r="N8" s="24">
        <f t="shared" si="2"/>
        <v>0.6</v>
      </c>
      <c r="O8" s="24" t="str">
        <f t="shared" si="3"/>
        <v>2,88839081275293-4,73739496454549i</v>
      </c>
      <c r="P8" s="24" t="str">
        <f t="shared" si="4"/>
        <v>2,87948571388767-4,72534337304123i</v>
      </c>
      <c r="Q8" s="24" t="str">
        <f t="shared" si="5"/>
        <v>2,63075394408755-4,86887240379235i</v>
      </c>
    </row>
    <row r="9" spans="1:17" x14ac:dyDescent="0.45">
      <c r="A9" s="28"/>
      <c r="B9" s="28"/>
      <c r="D9" s="27">
        <v>6</v>
      </c>
      <c r="E9" s="26">
        <f t="shared" si="6"/>
        <v>0.60000000000000009</v>
      </c>
      <c r="F9" s="24" t="str">
        <f t="shared" si="7"/>
        <v>2,63037795325104-4,86918932640703i</v>
      </c>
      <c r="G9" s="24" t="str">
        <f t="shared" si="0"/>
        <v>2,10093165031344-5,10598506399785i</v>
      </c>
      <c r="H9" s="24" t="str">
        <f t="shared" si="8"/>
        <v>-5,15151056310455-2,63037795325104i</v>
      </c>
      <c r="I9" s="24" t="str">
        <f t="shared" si="9"/>
        <v>-5,3033014269376-2,37280242509581i</v>
      </c>
      <c r="J9" s="24" t="str">
        <f t="shared" si="10"/>
        <v>-5,29042265052984-2,36521288190416i</v>
      </c>
      <c r="K9" s="24" t="str">
        <f t="shared" si="11"/>
        <v>-5,4278194582163-2,10133568819806i</v>
      </c>
      <c r="L9" s="25"/>
      <c r="M9" s="24">
        <f t="shared" si="1"/>
        <v>0.65000000000000013</v>
      </c>
      <c r="N9" s="24">
        <f t="shared" si="2"/>
        <v>0.70000000000000007</v>
      </c>
      <c r="O9" s="24" t="str">
        <f t="shared" si="3"/>
        <v>2,37280242509581-5,00070822406958i</v>
      </c>
      <c r="P9" s="24" t="str">
        <f t="shared" si="4"/>
        <v>2,36521288190416-4,98782944766182i</v>
      </c>
      <c r="Q9" s="24" t="str">
        <f t="shared" si="5"/>
        <v>2,10133568819806-5,10571061459745i</v>
      </c>
    </row>
    <row r="10" spans="1:17" x14ac:dyDescent="0.45">
      <c r="D10" s="27">
        <v>7</v>
      </c>
      <c r="E10" s="26">
        <f t="shared" si="6"/>
        <v>0.70000000000000007</v>
      </c>
      <c r="F10" s="24" t="str">
        <f t="shared" si="7"/>
        <v>2,10093165031344-5,10598506399785i</v>
      </c>
      <c r="G10" s="24" t="str">
        <f t="shared" si="0"/>
        <v>1,54667574092135-5,28854785281936i</v>
      </c>
      <c r="H10" s="24" t="str">
        <f t="shared" si="8"/>
        <v>-5,4280939076167-2,10093165031344i</v>
      </c>
      <c r="I10" s="24" t="str">
        <f t="shared" si="9"/>
        <v>-5,55185102652519-1,8295269549326i</v>
      </c>
      <c r="J10" s="24" t="str">
        <f t="shared" si="10"/>
        <v>-5,53828079175615-1,82333909898718i</v>
      </c>
      <c r="K10" s="24" t="str">
        <f t="shared" si="11"/>
        <v>-5,64699701934633-1,54710357113782i</v>
      </c>
      <c r="L10" s="25"/>
      <c r="M10" s="24">
        <f t="shared" si="1"/>
        <v>0.75000000000000011</v>
      </c>
      <c r="N10" s="24">
        <f t="shared" si="2"/>
        <v>0.8</v>
      </c>
      <c r="O10" s="24" t="str">
        <f t="shared" si="3"/>
        <v>1,8295269549326-5,21103164651352i</v>
      </c>
      <c r="P10" s="24" t="str">
        <f t="shared" si="4"/>
        <v>1,82333909898718-5,19746141174448i</v>
      </c>
      <c r="Q10" s="24" t="str">
        <f t="shared" si="5"/>
        <v>1,54710357113782-5,28831897389657i</v>
      </c>
    </row>
    <row r="11" spans="1:17" x14ac:dyDescent="0.45">
      <c r="D11" s="27">
        <v>8</v>
      </c>
      <c r="E11" s="26">
        <f t="shared" si="6"/>
        <v>0.8</v>
      </c>
      <c r="F11" s="24" t="str">
        <f t="shared" si="7"/>
        <v>1,54667574092135-5,28854785281936i</v>
      </c>
      <c r="G11" s="24" t="str">
        <f t="shared" si="0"/>
        <v>0,97348826740413-5,41468850771417i</v>
      </c>
      <c r="H11" s="24" t="str">
        <f t="shared" si="8"/>
        <v>-5,64722589826912-1,54667574092135i</v>
      </c>
      <c r="I11" s="24" t="str">
        <f t="shared" si="9"/>
        <v>-5,74152184243558-1,26431444600789i</v>
      </c>
      <c r="J11" s="24" t="str">
        <f t="shared" si="10"/>
        <v>-5,7274037776899-1,25959964879957i</v>
      </c>
      <c r="K11" s="24" t="str">
        <f t="shared" si="11"/>
        <v>-5,80617127251306-0,97393536315236i</v>
      </c>
      <c r="L11" s="25"/>
      <c r="M11" s="24">
        <f t="shared" si="1"/>
        <v>0.85000000000000009</v>
      </c>
      <c r="N11" s="24">
        <f t="shared" si="2"/>
        <v>0.9</v>
      </c>
      <c r="O11" s="24" t="str">
        <f t="shared" si="3"/>
        <v>1,26431444600789-5,36588163986543i</v>
      </c>
      <c r="P11" s="24" t="str">
        <f t="shared" si="4"/>
        <v>1,25959964879957-5,35176357511975i</v>
      </c>
      <c r="Q11" s="24" t="str">
        <f t="shared" si="5"/>
        <v>0,97393536315236-5,41450781769932i</v>
      </c>
    </row>
    <row r="12" spans="1:17" x14ac:dyDescent="0.45">
      <c r="D12" s="27">
        <v>9</v>
      </c>
      <c r="E12" s="26">
        <f t="shared" si="6"/>
        <v>0.9</v>
      </c>
      <c r="F12" s="24" t="str">
        <f t="shared" si="7"/>
        <v>0,97348826740413-5,41468850771417i</v>
      </c>
      <c r="G12" s="24" t="str">
        <f t="shared" si="0"/>
        <v>0,387471177902085-5,48281737207195i</v>
      </c>
      <c r="H12" s="24" t="str">
        <f t="shared" si="8"/>
        <v>-5,80635196252791-0,97348826740413i</v>
      </c>
      <c r="I12" s="24" t="str">
        <f t="shared" si="9"/>
        <v>-5,87007067347907-0,683170669277734i</v>
      </c>
      <c r="J12" s="24" t="str">
        <f t="shared" si="10"/>
        <v>-5,85555479357275-0,679984733730177i</v>
      </c>
      <c r="K12" s="24" t="str">
        <f t="shared" si="11"/>
        <v>-5,90342247349114-0,387932788046855i</v>
      </c>
      <c r="L12" s="25"/>
      <c r="M12" s="24">
        <f t="shared" si="1"/>
        <v>0.95000000000000007</v>
      </c>
      <c r="N12" s="24">
        <f t="shared" si="2"/>
        <v>1</v>
      </c>
      <c r="O12" s="24" t="str">
        <f t="shared" si="3"/>
        <v>0,683170669277734-5,46336292108438i</v>
      </c>
      <c r="P12" s="24" t="str">
        <f t="shared" si="4"/>
        <v>0,679984733730177-5,44884704117806i</v>
      </c>
      <c r="Q12" s="24" t="str">
        <f t="shared" si="5"/>
        <v>0,387932788046855-5,48268698108719i</v>
      </c>
    </row>
    <row r="13" spans="1:17" x14ac:dyDescent="0.45">
      <c r="D13" s="27">
        <v>10</v>
      </c>
      <c r="E13" s="26">
        <f t="shared" si="6"/>
        <v>1</v>
      </c>
      <c r="F13" s="24" t="str">
        <f t="shared" si="7"/>
        <v>0,387471177902085-5,48281737207195i</v>
      </c>
      <c r="G13" s="24" t="str">
        <f t="shared" si="0"/>
        <v>-0,205114387637645-5,49196349141242i</v>
      </c>
      <c r="H13" s="24" t="str">
        <f t="shared" si="8"/>
        <v>-5,9035528644759-0,387471177902085i</v>
      </c>
      <c r="I13" s="24" t="str">
        <f t="shared" si="9"/>
        <v>-5,93590254376406-0,09229353467829i</v>
      </c>
      <c r="J13" s="24" t="str">
        <f t="shared" si="10"/>
        <v>-5,92114366160287-0,090676050713882i</v>
      </c>
      <c r="K13" s="24" t="str">
        <f t="shared" si="11"/>
        <v>-5,93748865717406+0,204643188258202i</v>
      </c>
      <c r="L13" s="25"/>
      <c r="M13" s="24">
        <f t="shared" si="1"/>
        <v>1.05</v>
      </c>
      <c r="N13" s="24">
        <f t="shared" si="2"/>
        <v>1.1000000000000001</v>
      </c>
      <c r="O13" s="24" t="str">
        <f t="shared" si="3"/>
        <v>0,09229353467829-5,50219093096705i</v>
      </c>
      <c r="P13" s="24" t="str">
        <f t="shared" si="4"/>
        <v>0,090676050713882-5,48743204880586i</v>
      </c>
      <c r="Q13" s="24" t="str">
        <f t="shared" si="5"/>
        <v>-0,204643188258202-5,49188497714334i</v>
      </c>
    </row>
    <row r="14" spans="1:17" x14ac:dyDescent="0.45">
      <c r="D14" s="27">
        <v>11</v>
      </c>
      <c r="E14" s="26">
        <f t="shared" si="6"/>
        <v>1.1000000000000001</v>
      </c>
      <c r="F14" s="24" t="str">
        <f t="shared" si="7"/>
        <v>-0,205114387637645-5,49196349141242i</v>
      </c>
      <c r="G14" s="24" t="str">
        <f t="shared" si="0"/>
        <v>-0,797914711823488-5,44178721475226i</v>
      </c>
      <c r="H14" s="24" t="str">
        <f t="shared" si="8"/>
        <v>-5,93756717144314+0,205114387637645i</v>
      </c>
      <c r="I14" s="24" t="str">
        <f t="shared" si="9"/>
        <v>-5,9380897421608+0,501992746209802i</v>
      </c>
      <c r="J14" s="24" t="str">
        <f t="shared" si="10"/>
        <v>-5,92324582423219+0,502018874745685i</v>
      </c>
      <c r="K14" s="24" t="str">
        <f t="shared" si="11"/>
        <v>-5,90778114692146+0,797438970060864i</v>
      </c>
      <c r="L14" s="25"/>
      <c r="M14" s="24">
        <f t="shared" si="1"/>
        <v>1.1500000000000001</v>
      </c>
      <c r="N14" s="24">
        <f t="shared" si="2"/>
        <v>1.2000000000000002</v>
      </c>
      <c r="O14" s="24" t="str">
        <f t="shared" si="3"/>
        <v>-0,501992746209802-5,48170777203054i</v>
      </c>
      <c r="P14" s="24" t="str">
        <f t="shared" si="4"/>
        <v>-0,502018874745685-5,46686385410193i</v>
      </c>
      <c r="Q14" s="24" t="str">
        <f t="shared" si="5"/>
        <v>-0,797438970060864-5,44176160393785i</v>
      </c>
    </row>
    <row r="15" spans="1:17" x14ac:dyDescent="0.45">
      <c r="D15" s="27">
        <v>12</v>
      </c>
      <c r="E15" s="26">
        <f t="shared" si="6"/>
        <v>1.2000000000000002</v>
      </c>
      <c r="F15" s="24" t="str">
        <f t="shared" si="7"/>
        <v>-0,797914711823488-5,44178721475226i</v>
      </c>
      <c r="G15" s="24" t="str">
        <f t="shared" si="0"/>
        <v>-1,38455130843411-5,33258606887238i</v>
      </c>
      <c r="H15" s="24" t="str">
        <f t="shared" si="8"/>
        <v>-5,90780675773587+0,797914711823488i</v>
      </c>
      <c r="I15" s="24" t="str">
        <f t="shared" si="9"/>
        <v>-5,87638378883888+1,09330504971028i</v>
      </c>
      <c r="J15" s="24" t="str">
        <f t="shared" si="10"/>
        <v>-5,86161427194454+1,09173390126543i</v>
      </c>
      <c r="K15" s="24" t="str">
        <f t="shared" si="11"/>
        <v>-5,81439291733432+1,38407613901794i</v>
      </c>
      <c r="L15" s="25"/>
      <c r="M15" s="24">
        <f t="shared" si="1"/>
        <v>1.2500000000000002</v>
      </c>
      <c r="N15" s="24">
        <f t="shared" si="2"/>
        <v>1.3000000000000003</v>
      </c>
      <c r="O15" s="24" t="str">
        <f t="shared" si="3"/>
        <v>-1,09330504971028-5,40189147916109i</v>
      </c>
      <c r="P15" s="24" t="str">
        <f t="shared" si="4"/>
        <v>-1,09173390126543-5,38712196226675i</v>
      </c>
      <c r="Q15" s="24" t="str">
        <f t="shared" si="5"/>
        <v>-1,38407613901794-5,33261382462572i</v>
      </c>
    </row>
    <row r="16" spans="1:17" x14ac:dyDescent="0.45">
      <c r="D16" s="27">
        <v>13</v>
      </c>
      <c r="E16" s="26">
        <f t="shared" si="6"/>
        <v>1.3</v>
      </c>
      <c r="F16" s="24" t="str">
        <f t="shared" si="7"/>
        <v>-1,38455130843411-5,33258606887238i</v>
      </c>
      <c r="G16" s="24" t="str">
        <f t="shared" si="0"/>
        <v>-1,95868920455645-5,16529382200663i</v>
      </c>
      <c r="H16" s="24" t="str">
        <f t="shared" si="8"/>
        <v>-5,81436516158098+1,38455130843411i</v>
      </c>
      <c r="I16" s="24" t="str">
        <f t="shared" si="9"/>
        <v>-5,751220182364+1,67526956651316i</v>
      </c>
      <c r="J16" s="24" t="str">
        <f t="shared" si="10"/>
        <v>-5,73668426946005+1,67211231755231i</v>
      </c>
      <c r="K16" s="24" t="str">
        <f t="shared" si="11"/>
        <v>-5,65809970211138+1,95821973538011i</v>
      </c>
      <c r="L16" s="25"/>
      <c r="M16" s="24">
        <f t="shared" si="1"/>
        <v>1.35</v>
      </c>
      <c r="N16" s="24">
        <f t="shared" si="2"/>
        <v>1.4000000000000001</v>
      </c>
      <c r="O16" s="24" t="str">
        <f t="shared" si="3"/>
        <v>-1,67526956651316-5,26335850345067i</v>
      </c>
      <c r="P16" s="24" t="str">
        <f t="shared" si="4"/>
        <v>-1,67211231755231-5,24882259054672i</v>
      </c>
      <c r="Q16" s="24" t="str">
        <f t="shared" si="5"/>
        <v>-1,95821973538011-5,16537483711715i</v>
      </c>
    </row>
    <row r="17" spans="4:17" x14ac:dyDescent="0.45">
      <c r="D17" s="27">
        <v>14</v>
      </c>
      <c r="E17" s="26">
        <f t="shared" si="6"/>
        <v>1.4000000000000001</v>
      </c>
      <c r="F17" s="24" t="str">
        <f t="shared" si="7"/>
        <v>-1,95868920455645-5,16529382200663i</v>
      </c>
      <c r="G17" s="24" t="str">
        <f t="shared" si="0"/>
        <v>-2,5141049685285-4,94147272595952i</v>
      </c>
      <c r="H17" s="24" t="str">
        <f t="shared" si="8"/>
        <v>-5,65801868700086+1,95868920455645i</v>
      </c>
      <c r="I17" s="24" t="str">
        <f t="shared" si="9"/>
        <v>-5,5637158572976+2,24159013890649i</v>
      </c>
      <c r="J17" s="24" t="str">
        <f t="shared" si="10"/>
        <v>-5,5495708105801+2,23687499742133i</v>
      </c>
      <c r="K17" s="24" t="str">
        <f t="shared" si="11"/>
        <v>-5,44035381556653+2,51364628561446i</v>
      </c>
      <c r="L17" s="25"/>
      <c r="M17" s="24">
        <f t="shared" si="1"/>
        <v>1.4500000000000002</v>
      </c>
      <c r="N17" s="24">
        <f t="shared" si="2"/>
        <v>1.5000000000000002</v>
      </c>
      <c r="O17" s="24" t="str">
        <f t="shared" si="3"/>
        <v>-2,24159013890649-5,06735936177881i</v>
      </c>
      <c r="P17" s="24" t="str">
        <f t="shared" si="4"/>
        <v>-2,23687499742133-5,05321431506131i</v>
      </c>
      <c r="Q17" s="24" t="str">
        <f t="shared" si="5"/>
        <v>-2,51364628561446-4,9416063222645i</v>
      </c>
    </row>
    <row r="18" spans="4:17" x14ac:dyDescent="0.45">
      <c r="D18" s="27">
        <v>15</v>
      </c>
      <c r="E18" s="26">
        <f t="shared" si="6"/>
        <v>1.5</v>
      </c>
      <c r="F18" s="24" t="str">
        <f t="shared" si="7"/>
        <v>-2,5141049685285-4,94147272595952i</v>
      </c>
      <c r="G18" s="24" t="str">
        <f t="shared" si="0"/>
        <v>-3,04475375670359-4,66329899846006i</v>
      </c>
      <c r="H18" s="24" t="str">
        <f t="shared" si="8"/>
        <v>-5,44022021926155+2,5141049685285i</v>
      </c>
      <c r="I18" s="24" t="str">
        <f t="shared" si="9"/>
        <v>-5,31565935962777+2,78611597949158i</v>
      </c>
      <c r="J18" s="24" t="str">
        <f t="shared" si="10"/>
        <v>-5,30205880907962+2,77988793650989i</v>
      </c>
      <c r="K18" s="24" t="str">
        <f t="shared" si="11"/>
        <v>-5,16327073382928+3,04431084943646i</v>
      </c>
      <c r="L18" s="25"/>
      <c r="M18" s="24">
        <f t="shared" si="1"/>
        <v>1.55</v>
      </c>
      <c r="N18" s="24">
        <f t="shared" si="2"/>
        <v>1.6</v>
      </c>
      <c r="O18" s="24" t="str">
        <f t="shared" si="3"/>
        <v>-2,78611597949158-4,81576747753309i</v>
      </c>
      <c r="P18" s="24" t="str">
        <f t="shared" si="4"/>
        <v>-2,77988793650989-4,80216692698494i</v>
      </c>
      <c r="Q18" s="24" t="str">
        <f t="shared" si="5"/>
        <v>-3,04431084943646-4,66348393230853i</v>
      </c>
    </row>
    <row r="19" spans="4:17" x14ac:dyDescent="0.45">
      <c r="D19" s="27">
        <v>16</v>
      </c>
      <c r="E19" s="26">
        <f t="shared" si="6"/>
        <v>1.6</v>
      </c>
      <c r="F19" s="24" t="str">
        <f t="shared" si="7"/>
        <v>-3,04475375670359-4,66329899846006i</v>
      </c>
      <c r="G19" s="24" t="str">
        <f t="shared" si="0"/>
        <v>-3,54483466052492-4,33354167989773i</v>
      </c>
      <c r="H19" s="24" t="str">
        <f t="shared" si="8"/>
        <v>-5,16308579998081+3,04475375670359i</v>
      </c>
      <c r="I19" s="24" t="str">
        <f t="shared" si="9"/>
        <v>-5,00949382485184+3,30290804670263i</v>
      </c>
      <c r="J19" s="24" t="str">
        <f t="shared" si="10"/>
        <v>-4,99658611035189+3,29522844794618i</v>
      </c>
      <c r="K19" s="24" t="str">
        <f t="shared" si="11"/>
        <v>-4,82960855889167+3,54441236773878i</v>
      </c>
      <c r="L19" s="25"/>
      <c r="M19" s="24">
        <f t="shared" si="1"/>
        <v>1.6500000000000001</v>
      </c>
      <c r="N19" s="24">
        <f t="shared" si="2"/>
        <v>1.7000000000000002</v>
      </c>
      <c r="O19" s="24" t="str">
        <f t="shared" si="3"/>
        <v>-3,30290804670263-4,51106131062488i</v>
      </c>
      <c r="P19" s="24" t="str">
        <f t="shared" si="4"/>
        <v>-3,29522844794618-4,49815359612493i</v>
      </c>
      <c r="Q19" s="24" t="str">
        <f t="shared" si="5"/>
        <v>-3,54441236773878-4,33377615366544i</v>
      </c>
    </row>
    <row r="20" spans="4:17" x14ac:dyDescent="0.45">
      <c r="D20" s="27">
        <v>17</v>
      </c>
      <c r="E20" s="26">
        <f t="shared" si="6"/>
        <v>1.7000000000000002</v>
      </c>
      <c r="F20" s="24" t="str">
        <f t="shared" si="7"/>
        <v>-3,54483466052492-4,33354167989773i</v>
      </c>
      <c r="G20" s="24" t="str">
        <f t="shared" si="0"/>
        <v>-4,00885365153517-3,95553506969436i</v>
      </c>
      <c r="H20" s="24" t="str">
        <f t="shared" si="8"/>
        <v>-4,82937408512396+3,54483466052492i</v>
      </c>
      <c r="I20" s="24" t="str">
        <f t="shared" si="9"/>
        <v>-4,64829292030845+3,78630336478112i</v>
      </c>
      <c r="J20" s="24" t="str">
        <f t="shared" si="10"/>
        <v>-4,63621948509564+3,77724930654034i</v>
      </c>
      <c r="K20" s="24" t="str">
        <f t="shared" si="11"/>
        <v>-4,4427405646828+4,00845660903448i</v>
      </c>
      <c r="L20" s="25"/>
      <c r="M20" s="24">
        <f t="shared" si="1"/>
        <v>1.7500000000000002</v>
      </c>
      <c r="N20" s="24">
        <f t="shared" si="2"/>
        <v>1.8000000000000003</v>
      </c>
      <c r="O20" s="24" t="str">
        <f t="shared" si="3"/>
        <v>-3,78630336478112-4,15629994687148i</v>
      </c>
      <c r="P20" s="24" t="str">
        <f t="shared" si="4"/>
        <v>-3,77724930654034-4,14422651165867i</v>
      </c>
      <c r="Q20" s="24" t="str">
        <f t="shared" si="5"/>
        <v>-4,00845660903448-3,9558167492437i</v>
      </c>
    </row>
    <row r="21" spans="4:17" x14ac:dyDescent="0.45">
      <c r="D21" s="27">
        <v>18</v>
      </c>
      <c r="E21" s="26">
        <f t="shared" si="6"/>
        <v>1.8</v>
      </c>
      <c r="F21" s="24" t="str">
        <f t="shared" si="7"/>
        <v>-4,00885365153517-3,95553506969436i</v>
      </c>
      <c r="G21" s="24" t="str">
        <f t="shared" si="0"/>
        <v>-4,43168344559468-3,53314501668229i</v>
      </c>
      <c r="H21" s="24" t="str">
        <f t="shared" si="8"/>
        <v>-4,44245888513346+4,00885365153517i</v>
      </c>
      <c r="I21" s="24" t="str">
        <f t="shared" si="9"/>
        <v>-4,23572998860525+4,23097659579184i</v>
      </c>
      <c r="J21" s="24" t="str">
        <f t="shared" si="10"/>
        <v>-4,22462384139242+4,22064015096543i</v>
      </c>
      <c r="K21" s="24" t="str">
        <f t="shared" si="11"/>
        <v>-4,00662109844153+4,43131603567441i</v>
      </c>
      <c r="L21" s="25"/>
      <c r="M21" s="24">
        <f t="shared" si="1"/>
        <v>1.85</v>
      </c>
      <c r="N21" s="24">
        <f t="shared" si="2"/>
        <v>1.9000000000000001</v>
      </c>
      <c r="O21" s="24" t="str">
        <f t="shared" si="3"/>
        <v>-4,23097659579184-3,7550923871176i</v>
      </c>
      <c r="P21" s="24" t="str">
        <f t="shared" si="4"/>
        <v>-4,22064015096543-3,74398623990477i</v>
      </c>
      <c r="Q21" s="24" t="str">
        <f t="shared" si="5"/>
        <v>-4,43131603567441-3,53347105459782i</v>
      </c>
    </row>
    <row r="22" spans="4:17" x14ac:dyDescent="0.45">
      <c r="D22" s="27">
        <v>19</v>
      </c>
      <c r="E22" s="26">
        <f t="shared" si="6"/>
        <v>1.9000000000000001</v>
      </c>
      <c r="F22" s="24" t="str">
        <f t="shared" si="7"/>
        <v>-4,43168344559468-3,53314501668229i</v>
      </c>
      <c r="G22" s="24" t="str">
        <f t="shared" si="0"/>
        <v>-4,80861963850914-3,07072940424501i</v>
      </c>
      <c r="H22" s="24" t="str">
        <f t="shared" si="8"/>
        <v>-4,006295060526+4,43168344559468i</v>
      </c>
      <c r="I22" s="24" t="str">
        <f t="shared" si="9"/>
        <v>-3,77604070190449+4,63199819862098i</v>
      </c>
      <c r="J22" s="24" t="str">
        <f t="shared" si="10"/>
        <v>-3,76602496425317+4,62048548068991i</v>
      </c>
      <c r="K22" s="24" t="str">
        <f t="shared" si="11"/>
        <v>-3,52574518202614+4,80828594202i</v>
      </c>
      <c r="L22" s="25"/>
      <c r="M22" s="24">
        <f t="shared" si="1"/>
        <v>1.9500000000000002</v>
      </c>
      <c r="N22" s="24">
        <f t="shared" si="2"/>
        <v>2</v>
      </c>
      <c r="O22" s="24" t="str">
        <f t="shared" si="3"/>
        <v>-4,63199819862098-3,31156084440256i</v>
      </c>
      <c r="P22" s="24" t="str">
        <f t="shared" si="4"/>
        <v>-4,62048548068991-3,30154510675124i</v>
      </c>
      <c r="Q22" s="24" t="str">
        <f t="shared" si="5"/>
        <v>-4,80828594202-3,0710964686133i</v>
      </c>
    </row>
    <row r="23" spans="4:17" x14ac:dyDescent="0.45">
      <c r="D23" s="27">
        <v>20</v>
      </c>
      <c r="E23" s="26">
        <f t="shared" si="6"/>
        <v>2</v>
      </c>
      <c r="F23" s="24" t="str">
        <f t="shared" si="7"/>
        <v>-4,80861963850914-3,07072940424501i</v>
      </c>
      <c r="G23" s="24" t="str">
        <f t="shared" si="0"/>
        <v>-5,13543250316414-2,57309323391804i</v>
      </c>
      <c r="H23" s="24" t="str">
        <f t="shared" si="8"/>
        <v>-3,52537811765785+4,80861963850914i</v>
      </c>
      <c r="I23" s="24" t="str">
        <f t="shared" si="9"/>
        <v>-3,27397960663624+4,98488854439203i</v>
      </c>
      <c r="J23" s="24" t="str">
        <f t="shared" si="10"/>
        <v>-3,2651661613421+4,97231861884095i</v>
      </c>
      <c r="K23" s="24" t="str">
        <f t="shared" si="11"/>
        <v>-3,00510222568535+5,13513625464335i</v>
      </c>
      <c r="L23" s="25"/>
      <c r="M23" s="24">
        <f t="shared" si="1"/>
        <v>2.0499999999999998</v>
      </c>
      <c r="N23" s="24">
        <f t="shared" si="2"/>
        <v>2.1</v>
      </c>
      <c r="O23" s="24" t="str">
        <f t="shared" si="3"/>
        <v>-4,98488854439203-2,83029842231955i</v>
      </c>
      <c r="P23" s="24" t="str">
        <f t="shared" si="4"/>
        <v>-4,97231861884095-2,82148497702541i</v>
      </c>
      <c r="Q23" s="24" t="str">
        <f t="shared" si="5"/>
        <v>-5,13513625464335-2,57349754236091i</v>
      </c>
    </row>
    <row r="24" spans="4:17" x14ac:dyDescent="0.45">
      <c r="D24" s="27">
        <v>21</v>
      </c>
      <c r="E24" s="26">
        <f t="shared" si="6"/>
        <v>2.1</v>
      </c>
      <c r="F24" s="24" t="str">
        <f t="shared" si="7"/>
        <v>-5,13543250316414-2,57309323391804i</v>
      </c>
      <c r="G24" s="24" t="str">
        <f t="shared" si="0"/>
        <v>-5,40841388274386-2,04543876996701i</v>
      </c>
      <c r="H24" s="24" t="str">
        <f t="shared" si="8"/>
        <v>-3,00469791724248+5,13543250316414i</v>
      </c>
      <c r="I24" s="24" t="str">
        <f t="shared" si="9"/>
        <v>-2,73477100415908+5,28566739902626i</v>
      </c>
      <c r="J24" s="24" t="str">
        <f t="shared" si="10"/>
        <v>-2,72725925936598+5,27217105337209i</v>
      </c>
      <c r="K24" s="24" t="str">
        <f t="shared" si="11"/>
        <v>-2,45012433049062+5,40815842910074i</v>
      </c>
      <c r="L24" s="25"/>
      <c r="M24" s="24">
        <f t="shared" si="1"/>
        <v>2.15</v>
      </c>
      <c r="N24" s="24">
        <f t="shared" si="2"/>
        <v>2.2000000000000002</v>
      </c>
      <c r="O24" s="24" t="str">
        <f t="shared" si="3"/>
        <v>-5,28566739902626-2,31632160875983i</v>
      </c>
      <c r="P24" s="24" t="str">
        <f t="shared" si="4"/>
        <v>-5,27217105337209-2,30880986396673i</v>
      </c>
      <c r="Q24" s="24" t="str">
        <f t="shared" si="5"/>
        <v>-5,40815842910074-2,04587612858083i</v>
      </c>
    </row>
    <row r="25" spans="4:17" x14ac:dyDescent="0.45">
      <c r="D25" s="27">
        <v>22</v>
      </c>
      <c r="E25" s="26">
        <f t="shared" si="6"/>
        <v>2.2000000000000002</v>
      </c>
      <c r="F25" s="24" t="str">
        <f t="shared" si="7"/>
        <v>-5,40841388274386-2,04543876996701i</v>
      </c>
      <c r="G25" s="24" t="str">
        <f t="shared" si="0"/>
        <v>-5,62441866521923-1,49331126152097i</v>
      </c>
      <c r="H25" s="24" t="str">
        <f t="shared" si="8"/>
        <v>-2,44968697187681+5,40841388274386i</v>
      </c>
      <c r="I25" s="24" t="str">
        <f t="shared" si="9"/>
        <v>-2,16405467427378+5,5308982313377i</v>
      </c>
      <c r="J25" s="24" t="str">
        <f t="shared" si="10"/>
        <v>-2,15793045684409+5,51661661645755i</v>
      </c>
      <c r="K25" s="24" t="str">
        <f t="shared" si="11"/>
        <v>-1,86662971440961+5,62420692842827i</v>
      </c>
      <c r="L25" s="25"/>
      <c r="M25" s="24">
        <f t="shared" si="1"/>
        <v>2.25</v>
      </c>
      <c r="N25" s="24">
        <f t="shared" si="2"/>
        <v>2.3000000000000003</v>
      </c>
      <c r="O25" s="24" t="str">
        <f t="shared" si="3"/>
        <v>-5,5308982313377-1,77501807582982i</v>
      </c>
      <c r="P25" s="24" t="str">
        <f t="shared" si="4"/>
        <v>-5,51661661645755-1,76889385840013i</v>
      </c>
      <c r="Q25" s="24" t="str">
        <f t="shared" si="5"/>
        <v>-5,62420692842827-1,49377710832125i</v>
      </c>
    </row>
    <row r="26" spans="4:17" x14ac:dyDescent="0.45">
      <c r="D26" s="27">
        <v>23</v>
      </c>
      <c r="E26" s="26">
        <f t="shared" si="6"/>
        <v>2.3000000000000003</v>
      </c>
      <c r="F26" s="24" t="str">
        <f t="shared" si="7"/>
        <v>-5,62441866521923-1,49331126152097i</v>
      </c>
      <c r="G26" s="24" t="str">
        <f t="shared" si="0"/>
        <v>-5,78090038050497-0,922540807553628i</v>
      </c>
      <c r="H26" s="24" t="str">
        <f t="shared" si="8"/>
        <v>-1,86616386760933+5,62441866521923i</v>
      </c>
      <c r="I26" s="24" t="str">
        <f t="shared" si="9"/>
        <v>-1,56782700465543+5,7177268585997i</v>
      </c>
      <c r="J26" s="24" t="str">
        <f t="shared" si="10"/>
        <v>-1,56316159498641+5,702810015452i</v>
      </c>
      <c r="K26" s="24" t="str">
        <f t="shared" si="11"/>
        <v>-1,26076185025135+5,78073482471787i</v>
      </c>
      <c r="L26" s="25"/>
      <c r="M26" s="24">
        <f t="shared" si="1"/>
        <v>2.35</v>
      </c>
      <c r="N26" s="24">
        <f t="shared" si="2"/>
        <v>2.4000000000000004</v>
      </c>
      <c r="O26" s="24" t="str">
        <f t="shared" si="3"/>
        <v>-5,7177268585997-1,21209032826001i</v>
      </c>
      <c r="P26" s="24" t="str">
        <f t="shared" si="4"/>
        <v>-5,702810015452-1,20742491859099i</v>
      </c>
      <c r="Q26" s="24" t="str">
        <f t="shared" si="5"/>
        <v>-5,78073482471787-0,92303025997577i</v>
      </c>
    </row>
    <row r="27" spans="4:17" x14ac:dyDescent="0.45">
      <c r="D27" s="27">
        <v>24</v>
      </c>
      <c r="E27" s="26">
        <f t="shared" si="6"/>
        <v>2.4000000000000004</v>
      </c>
      <c r="F27" s="24" t="str">
        <f t="shared" si="7"/>
        <v>-5,78090038050497-0,922540807553628i</v>
      </c>
      <c r="G27" s="24" t="str">
        <f t="shared" si="0"/>
        <v>-5,87594052292297-0,339180972843088i</v>
      </c>
      <c r="H27" s="24" t="str">
        <f t="shared" si="8"/>
        <v>-1,2602723978292+5,78090038050497i</v>
      </c>
      <c r="I27" s="24" t="str">
        <f t="shared" si="9"/>
        <v>-0,952378139595632+5,84391400039643i</v>
      </c>
      <c r="J27" s="24" t="str">
        <f t="shared" si="10"/>
        <v>-0,949227458601058+5,82851928748475i</v>
      </c>
      <c r="K27" s="24" t="str">
        <f t="shared" si="11"/>
        <v>-0,638924950857131+5,87582312636508i</v>
      </c>
      <c r="L27" s="25"/>
      <c r="M27" s="24">
        <f t="shared" si="1"/>
        <v>2.4500000000000002</v>
      </c>
      <c r="N27" s="24">
        <f t="shared" si="2"/>
        <v>2.5000000000000004</v>
      </c>
      <c r="O27" s="24" t="str">
        <f t="shared" si="3"/>
        <v>-5,84391400039643-0,63349578852838i</v>
      </c>
      <c r="P27" s="24" t="str">
        <f t="shared" si="4"/>
        <v>-5,82851928748475-0,630345107533806i</v>
      </c>
      <c r="Q27" s="24" t="str">
        <f t="shared" si="5"/>
        <v>-5,87582312636508-0,339688878805153i</v>
      </c>
    </row>
    <row r="28" spans="4:17" x14ac:dyDescent="0.45">
      <c r="D28" s="27">
        <v>25</v>
      </c>
      <c r="E28" s="26">
        <f t="shared" si="6"/>
        <v>2.5</v>
      </c>
      <c r="F28" s="24" t="str">
        <f t="shared" si="7"/>
        <v>-5,87594052292297-0,339180972843088i</v>
      </c>
      <c r="G28" s="24" t="str">
        <f t="shared" si="0"/>
        <v>-5,90827126723423+0,250555200470989i</v>
      </c>
      <c r="H28" s="24" t="str">
        <f t="shared" si="8"/>
        <v>-0,638417044895066+5,87594052292297i</v>
      </c>
      <c r="I28" s="24" t="str">
        <f t="shared" si="9"/>
        <v>-0,324225805392649+5,90786137516772i</v>
      </c>
      <c r="J28" s="24" t="str">
        <f t="shared" si="10"/>
        <v>-0,322629762780411+5,8921518131926i</v>
      </c>
      <c r="K28" s="24" t="str">
        <f t="shared" si="11"/>
        <v>-0,00771647743456005+5,90820349920101i</v>
      </c>
      <c r="L28" s="25"/>
      <c r="M28" s="24">
        <f t="shared" si="1"/>
        <v>2.5499999999999998</v>
      </c>
      <c r="N28" s="24">
        <f t="shared" si="2"/>
        <v>2.6</v>
      </c>
      <c r="O28" s="24" t="str">
        <f t="shared" si="3"/>
        <v>-5,90786137516772-0,04538394669694i</v>
      </c>
      <c r="P28" s="24" t="str">
        <f t="shared" si="4"/>
        <v>-5,8921518131926-0,043787904084702i</v>
      </c>
      <c r="Q28" s="24" t="str">
        <f t="shared" si="5"/>
        <v>-5,90820349920101+0,250034208476172i</v>
      </c>
    </row>
    <row r="29" spans="4:17" x14ac:dyDescent="0.45">
      <c r="D29" s="27">
        <v>26</v>
      </c>
      <c r="E29" s="26">
        <f t="shared" si="6"/>
        <v>2.6</v>
      </c>
      <c r="F29" s="24" t="str">
        <f t="shared" si="7"/>
        <v>-5,90827126723423+0,250555200470989i</v>
      </c>
      <c r="G29" s="24" t="str">
        <f t="shared" si="0"/>
        <v>-5,8772913158284+0,840361111378329i</v>
      </c>
      <c r="H29" s="24" t="str">
        <f t="shared" si="8"/>
        <v>-0,00719548543974308+5,90827126723423i</v>
      </c>
      <c r="I29" s="24" t="str">
        <f t="shared" si="9"/>
        <v>0,30995349318776+5,90863104150622i</v>
      </c>
      <c r="J29" s="24" t="str">
        <f t="shared" si="10"/>
        <v>0,309971481901359+5,89277359257484i</v>
      </c>
      <c r="K29" s="24" t="str">
        <f t="shared" si="11"/>
        <v>0,626142619611558+5,87727411904409i</v>
      </c>
      <c r="L29" s="25"/>
      <c r="M29" s="24">
        <f t="shared" si="1"/>
        <v>2.65</v>
      </c>
      <c r="N29" s="24">
        <f t="shared" si="2"/>
        <v>2.7</v>
      </c>
      <c r="O29" s="24" t="str">
        <f t="shared" si="3"/>
        <v>-5,90863104150622+0,545968763832701i</v>
      </c>
      <c r="P29" s="24" t="str">
        <f t="shared" si="4"/>
        <v>-5,89277359257484+0,5459867525463i</v>
      </c>
      <c r="Q29" s="24" t="str">
        <f t="shared" si="5"/>
        <v>-5,87727411904409+0,839832559728473i</v>
      </c>
    </row>
    <row r="30" spans="4:17" x14ac:dyDescent="0.45">
      <c r="D30" s="27">
        <v>27</v>
      </c>
      <c r="E30" s="26">
        <f t="shared" si="6"/>
        <v>2.7</v>
      </c>
      <c r="F30" s="24" t="str">
        <f t="shared" si="7"/>
        <v>-5,8772913158284+0,840361111378329i</v>
      </c>
      <c r="G30" s="24" t="str">
        <f t="shared" si="0"/>
        <v>-5,78307468696245+1,42390375153514i</v>
      </c>
      <c r="H30" s="24" t="str">
        <f t="shared" si="8"/>
        <v>0,626671171261414+5,8772913158284i</v>
      </c>
      <c r="I30" s="24" t="str">
        <f t="shared" si="9"/>
        <v>0,943395181143584+5,84595775726533i</v>
      </c>
      <c r="J30" s="24" t="str">
        <f t="shared" si="10"/>
        <v>0,941828503215424+5,83012155677122i</v>
      </c>
      <c r="K30" s="24" t="str">
        <f t="shared" si="11"/>
        <v>1,2558791919775+5,78310846550686i</v>
      </c>
      <c r="L30" s="25"/>
      <c r="M30" s="24">
        <f t="shared" si="1"/>
        <v>2.75</v>
      </c>
      <c r="N30" s="24">
        <f t="shared" si="2"/>
        <v>2.8000000000000003</v>
      </c>
      <c r="O30" s="24" t="str">
        <f t="shared" si="3"/>
        <v>-5,84595775726533+1,13422567716975i</v>
      </c>
      <c r="P30" s="24" t="str">
        <f t="shared" si="4"/>
        <v>-5,83012155677122+1,13265899924159i</v>
      </c>
      <c r="Q30" s="24" t="str">
        <f t="shared" si="5"/>
        <v>-5,78310846550686+1,42337326705545i</v>
      </c>
    </row>
    <row r="31" spans="4:17" x14ac:dyDescent="0.45">
      <c r="D31" s="27">
        <v>28</v>
      </c>
      <c r="E31" s="26">
        <f t="shared" si="6"/>
        <v>2.8000000000000003</v>
      </c>
      <c r="F31" s="24" t="str">
        <f t="shared" si="7"/>
        <v>-5,78307468696245+1,42390375153514i</v>
      </c>
      <c r="G31" s="24" t="str">
        <f t="shared" si="0"/>
        <v>-5,62637232845997+1,99489137754524i</v>
      </c>
      <c r="H31" s="24" t="str">
        <f t="shared" si="8"/>
        <v>1,25640967645719+5,78307468696245i</v>
      </c>
      <c r="I31" s="24" t="str">
        <f t="shared" si="9"/>
        <v>1,56931847971199+5,72025420313959i</v>
      </c>
      <c r="J31" s="24" t="str">
        <f t="shared" si="10"/>
        <v>1,56617745552085+5,70460876297685i</v>
      </c>
      <c r="K31" s="24" t="str">
        <f t="shared" si="11"/>
        <v>1,87473996322584+5,62645694141036i</v>
      </c>
      <c r="L31" s="25"/>
      <c r="M31" s="24">
        <f t="shared" si="1"/>
        <v>2.85</v>
      </c>
      <c r="N31" s="24">
        <f t="shared" si="2"/>
        <v>2.9000000000000004</v>
      </c>
      <c r="O31" s="24" t="str">
        <f t="shared" si="3"/>
        <v>-5,72025420313959+1,71305748588326i</v>
      </c>
      <c r="P31" s="24" t="str">
        <f t="shared" si="4"/>
        <v>-5,70460876297685+1,70991646169212i</v>
      </c>
      <c r="Q31" s="24" t="str">
        <f t="shared" si="5"/>
        <v>-5,62645694141036+1,99436462783283i</v>
      </c>
    </row>
    <row r="32" spans="4:17" x14ac:dyDescent="0.45">
      <c r="D32" s="27">
        <v>29</v>
      </c>
      <c r="E32" s="26">
        <f t="shared" si="6"/>
        <v>2.9000000000000004</v>
      </c>
      <c r="F32" s="24" t="str">
        <f t="shared" si="7"/>
        <v>-5,62637232845997+1,99489137754524i</v>
      </c>
      <c r="G32" s="24" t="str">
        <f t="shared" si="0"/>
        <v>-5,4086065172344+2,54714098391335i</v>
      </c>
      <c r="H32" s="24" t="str">
        <f t="shared" si="8"/>
        <v>1,87526671293825+5,62637232845997i</v>
      </c>
      <c r="I32" s="24" t="str">
        <f t="shared" si="9"/>
        <v>2,18099867028773+5,53260899281306i</v>
      </c>
      <c r="J32" s="24" t="str">
        <f t="shared" si="10"/>
        <v>2,17631050350538+5,51732239494558i</v>
      </c>
      <c r="K32" s="24" t="str">
        <f t="shared" si="11"/>
        <v>2,47606361300987+5,40874127810943i</v>
      </c>
      <c r="L32" s="25"/>
      <c r="M32" s="24">
        <f t="shared" si="1"/>
        <v>2.95</v>
      </c>
      <c r="N32" s="24">
        <f t="shared" si="2"/>
        <v>3.0000000000000004</v>
      </c>
      <c r="O32" s="24" t="str">
        <f t="shared" si="3"/>
        <v>-5,53260899281306+2,27620999396824i</v>
      </c>
      <c r="P32" s="24" t="str">
        <f t="shared" si="4"/>
        <v>-5,51732239494558+2,27152182718589i</v>
      </c>
      <c r="Q32" s="24" t="str">
        <f t="shared" si="5"/>
        <v>-5,40874127810943+2,5466236170398i</v>
      </c>
    </row>
    <row r="33" spans="4:17" x14ac:dyDescent="0.45">
      <c r="D33" s="27">
        <v>30</v>
      </c>
      <c r="E33" s="26">
        <f t="shared" si="6"/>
        <v>3</v>
      </c>
      <c r="F33" s="24" t="str">
        <f t="shared" si="7"/>
        <v>-5,4086065172344+2,54714098391335i</v>
      </c>
      <c r="G33" s="24" t="str">
        <f t="shared" si="0"/>
        <v>-5,13185808158279+3,07464485646221i</v>
      </c>
      <c r="H33" s="24" t="str">
        <f t="shared" si="8"/>
        <v>2,47658097988342+5,4086065172344i</v>
      </c>
      <c r="I33" s="24" t="str">
        <f t="shared" si="9"/>
        <v>2,77183898865885+5,28477746824023i</v>
      </c>
      <c r="J33" s="24" t="str">
        <f t="shared" si="10"/>
        <v>2,76564753620914+5,27001456780146i</v>
      </c>
      <c r="K33" s="24" t="str">
        <f t="shared" si="11"/>
        <v>3,05335210947685+5,13204176361349i</v>
      </c>
      <c r="L33" s="25"/>
      <c r="M33" s="24">
        <f t="shared" si="1"/>
        <v>3.05</v>
      </c>
      <c r="N33" s="24">
        <f t="shared" si="2"/>
        <v>3.1</v>
      </c>
      <c r="O33" s="24" t="str">
        <f t="shared" si="3"/>
        <v>-5,28477746824023+2,81757130977507i</v>
      </c>
      <c r="P33" s="24" t="str">
        <f t="shared" si="4"/>
        <v>-5,27001456780146+2,81137985732536i</v>
      </c>
      <c r="Q33" s="24" t="str">
        <f t="shared" si="5"/>
        <v>-5,13204176361349+3,0741424406935i</v>
      </c>
    </row>
    <row r="34" spans="4:17" x14ac:dyDescent="0.45">
      <c r="D34" s="27">
        <v>31</v>
      </c>
      <c r="E34" s="26">
        <f t="shared" si="6"/>
        <v>3.1</v>
      </c>
      <c r="F34" s="24" t="str">
        <f t="shared" si="7"/>
        <v>-5,13185808158279+3,07464485646221i</v>
      </c>
      <c r="G34" s="24" t="str">
        <f t="shared" si="0"/>
        <v>-4,79884655960059+3,57163549352485i</v>
      </c>
      <c r="H34" s="24" t="str">
        <f t="shared" si="8"/>
        <v>3,05385452524557+5,13185808158279i</v>
      </c>
      <c r="I34" s="24" t="str">
        <f t="shared" si="9"/>
        <v>3,33544138422492+4,97916535532051i</v>
      </c>
      <c r="J34" s="24" t="str">
        <f t="shared" si="10"/>
        <v>3,32780674791181+4,96508601237154i</v>
      </c>
      <c r="K34" s="24" t="str">
        <f t="shared" si="11"/>
        <v>3,60034052941315+4,79907740679161i</v>
      </c>
      <c r="L34" s="25"/>
      <c r="M34" s="24">
        <f t="shared" si="1"/>
        <v>3.15</v>
      </c>
      <c r="N34" s="24">
        <f t="shared" si="2"/>
        <v>3.2</v>
      </c>
      <c r="O34" s="24" t="str">
        <f t="shared" si="3"/>
        <v>-4,97916535532051+3,33123776054135i</v>
      </c>
      <c r="P34" s="24" t="str">
        <f t="shared" si="4"/>
        <v>-4,96508601237154+3,32360312422824i</v>
      </c>
      <c r="Q34" s="24" t="str">
        <f t="shared" si="5"/>
        <v>-4,79907740679161+3,57115345769936i</v>
      </c>
    </row>
    <row r="35" spans="4:17" x14ac:dyDescent="0.45">
      <c r="D35" s="27">
        <v>32</v>
      </c>
      <c r="E35" s="26">
        <f t="shared" si="6"/>
        <v>3.2</v>
      </c>
      <c r="F35" s="24" t="str">
        <f t="shared" si="7"/>
        <v>-4,79884655960059+3,57163549352485i</v>
      </c>
      <c r="G35" s="24" t="str">
        <f t="shared" ref="G35:G66" si="12">IMSUM(F35,IMPRODUCT((IMSUM(H35,IMPRODUCT(2,I35),IMPRODUCT(2,J35),K35)),$B$4/6))</f>
        <v>-4,41290348248218+4,03264819734097i</v>
      </c>
      <c r="H35" s="24" t="str">
        <f t="shared" si="8"/>
        <v>3,60082256523864+4,79884655960059i</v>
      </c>
      <c r="I35" s="24" t="str">
        <f t="shared" si="9"/>
        <v>3,86567538876993+4,61880543133866i</v>
      </c>
      <c r="J35" s="24" t="str">
        <f t="shared" si="10"/>
        <v>3,85667333235683+4,60556279016209i</v>
      </c>
      <c r="K35" s="24" t="str">
        <f t="shared" si="11"/>
        <v>4,11106461961268+4,41317922636491i</v>
      </c>
      <c r="L35" s="25"/>
      <c r="M35" s="24">
        <f t="shared" ref="M35:M66" si="13">E35+(1/2)*$B$4</f>
        <v>3.25</v>
      </c>
      <c r="N35" s="24">
        <f t="shared" ref="N35:N66" si="14">E35+$B$4</f>
        <v>3.3000000000000003</v>
      </c>
      <c r="O35" s="24" t="str">
        <f t="shared" ref="O35:O66" si="15">IMSUM(F35,IMPRODUCT(1/2,H35,$B$4))</f>
        <v>-4,61880543133866+3,81157782150488i</v>
      </c>
      <c r="P35" s="24" t="str">
        <f t="shared" ref="P35:P66" si="16">IMSUM(F35,IMPRODUCT(1/2,I35,$B$4))</f>
        <v>-4,60556279016209+3,80257576509178i</v>
      </c>
      <c r="Q35" s="24" t="str">
        <f t="shared" ref="Q35:Q66" si="17">IMSUM(F35,IMPRODUCT(J35,$B$4))</f>
        <v>-4,41317922636491+4,03219177254106i</v>
      </c>
    </row>
    <row r="36" spans="4:17" x14ac:dyDescent="0.45">
      <c r="D36" s="27">
        <v>33</v>
      </c>
      <c r="E36" s="26">
        <f t="shared" ref="E36:E67" si="18">D36*$B$4+$B$3</f>
        <v>3.3000000000000003</v>
      </c>
      <c r="F36" s="24" t="str">
        <f t="shared" ref="F36:F67" si="19">G35</f>
        <v>-4,41290348248218+4,03264819734097i</v>
      </c>
      <c r="G36" s="24" t="str">
        <f t="shared" si="12"/>
        <v>-3,97793904509528+4,45258066066185i</v>
      </c>
      <c r="H36" s="24" t="str">
        <f t="shared" si="8"/>
        <v>4,11152104441259+4,41290348248218i</v>
      </c>
      <c r="I36" s="24" t="str">
        <f t="shared" si="9"/>
        <v>4,35674435730178+4,20732743026155i</v>
      </c>
      <c r="J36" s="24" t="str">
        <f t="shared" si="10"/>
        <v>4,34646555469075+4,19506626461709i</v>
      </c>
      <c r="K36" s="24" t="str">
        <f t="shared" si="11"/>
        <v>4,5799253748161+3,9782569270131i</v>
      </c>
      <c r="L36" s="25"/>
      <c r="M36" s="24">
        <f t="shared" si="13"/>
        <v>3.35</v>
      </c>
      <c r="N36" s="24">
        <f t="shared" si="14"/>
        <v>3.4000000000000004</v>
      </c>
      <c r="O36" s="24" t="str">
        <f t="shared" si="15"/>
        <v>-4,20732743026155+4,25329337146508i</v>
      </c>
      <c r="P36" s="24" t="str">
        <f t="shared" si="16"/>
        <v>-4,19506626461709+4,24301456885405i</v>
      </c>
      <c r="Q36" s="24" t="str">
        <f t="shared" si="17"/>
        <v>-3,9782569270131+4,45215482380268i</v>
      </c>
    </row>
    <row r="37" spans="4:17" x14ac:dyDescent="0.45">
      <c r="D37" s="27">
        <v>34</v>
      </c>
      <c r="E37" s="26">
        <f t="shared" si="18"/>
        <v>3.4000000000000004</v>
      </c>
      <c r="F37" s="24" t="str">
        <f t="shared" si="19"/>
        <v>-3,97793904509528+4,45258066066185i</v>
      </c>
      <c r="G37" s="24" t="str">
        <f t="shared" si="12"/>
        <v>-3,49840249726411+4,8267489033844i</v>
      </c>
      <c r="H37" s="24" t="str">
        <f t="shared" si="8"/>
        <v>4,58035121167527+3,97793904509528i</v>
      </c>
      <c r="I37" s="24" t="str">
        <f t="shared" si="9"/>
        <v>4,80324836927082+3,74892148451152i</v>
      </c>
      <c r="J37" s="24" t="str">
        <f t="shared" si="10"/>
        <v>4,79179749124164+3,73777662663174i</v>
      </c>
      <c r="K37" s="24" t="str">
        <f t="shared" si="11"/>
        <v>5,00174993716983+3,49875929597112i</v>
      </c>
      <c r="L37" s="25"/>
      <c r="M37" s="24">
        <f t="shared" si="13"/>
        <v>3.45</v>
      </c>
      <c r="N37" s="24">
        <f t="shared" si="14"/>
        <v>3.5000000000000004</v>
      </c>
      <c r="O37" s="24" t="str">
        <f t="shared" si="15"/>
        <v>-3,74892148451152+4,65147761291661i</v>
      </c>
      <c r="P37" s="24" t="str">
        <f t="shared" si="16"/>
        <v>-3,73777662663174+4,64002673488743i</v>
      </c>
      <c r="Q37" s="24" t="str">
        <f t="shared" si="17"/>
        <v>-3,49875929597112+4,82635832332502i</v>
      </c>
    </row>
    <row r="38" spans="4:17" x14ac:dyDescent="0.45">
      <c r="D38" s="27">
        <v>35</v>
      </c>
      <c r="E38" s="26">
        <f t="shared" si="18"/>
        <v>3.5</v>
      </c>
      <c r="F38" s="24" t="str">
        <f t="shared" si="19"/>
        <v>-3,49840249726411+4,8267489033844i</v>
      </c>
      <c r="G38" s="24" t="str">
        <f t="shared" si="12"/>
        <v>-2,97923665690737+5,15093895079462i</v>
      </c>
      <c r="H38" s="24" t="str">
        <f t="shared" si="8"/>
        <v>5,00214051722921+3,49840249726411i</v>
      </c>
      <c r="I38" s="24" t="str">
        <f t="shared" si="9"/>
        <v>5,20024311189059+3,24829547140265i</v>
      </c>
      <c r="J38" s="24" t="str">
        <f t="shared" si="10"/>
        <v>5,18773776059751+3,23839034166958i</v>
      </c>
      <c r="K38" s="24" t="str">
        <f t="shared" si="11"/>
        <v>5,37184815919879+2,97962872120436i</v>
      </c>
      <c r="L38" s="25"/>
      <c r="M38" s="24">
        <f t="shared" si="13"/>
        <v>3.55</v>
      </c>
      <c r="N38" s="24">
        <f t="shared" si="14"/>
        <v>3.6</v>
      </c>
      <c r="O38" s="24" t="str">
        <f t="shared" si="15"/>
        <v>-3,24829547140265+5,00166902824761i</v>
      </c>
      <c r="P38" s="24" t="str">
        <f t="shared" si="16"/>
        <v>-3,23839034166958+4,98916367695453i</v>
      </c>
      <c r="Q38" s="24" t="str">
        <f t="shared" si="17"/>
        <v>-2,97962872120436+5,15058793755136i</v>
      </c>
    </row>
    <row r="39" spans="4:17" x14ac:dyDescent="0.45">
      <c r="D39" s="27">
        <v>36</v>
      </c>
      <c r="E39" s="26">
        <f t="shared" si="18"/>
        <v>3.6</v>
      </c>
      <c r="F39" s="24" t="str">
        <f t="shared" si="19"/>
        <v>-2,97923665690737+5,15093895079462i</v>
      </c>
      <c r="G39" s="24" t="str">
        <f t="shared" si="12"/>
        <v>-2,42582700982652+5,42145368833461i</v>
      </c>
      <c r="H39" s="24" t="str">
        <f t="shared" si="8"/>
        <v>5,37219917244205+2,97923665690737i</v>
      </c>
      <c r="I39" s="24" t="str">
        <f t="shared" si="9"/>
        <v>5,54329410796784+2,71062669828527i</v>
      </c>
      <c r="J39" s="24" t="str">
        <f t="shared" si="10"/>
        <v>5,52986361003673+2,70207195150898i</v>
      </c>
      <c r="K39" s="24" t="str">
        <f t="shared" si="11"/>
        <v>5,68606421639977+2,4262502959037i</v>
      </c>
      <c r="L39" s="25"/>
      <c r="M39" s="24">
        <f t="shared" si="13"/>
        <v>3.65</v>
      </c>
      <c r="N39" s="24">
        <f t="shared" si="14"/>
        <v>3.7</v>
      </c>
      <c r="O39" s="24" t="str">
        <f t="shared" si="15"/>
        <v>-2,71062669828527+5,29990078363999i</v>
      </c>
      <c r="P39" s="24" t="str">
        <f t="shared" si="16"/>
        <v>-2,70207195150898+5,28647028570888i</v>
      </c>
      <c r="Q39" s="24" t="str">
        <f t="shared" si="17"/>
        <v>-2,4262502959037+5,42114614594552i</v>
      </c>
    </row>
    <row r="40" spans="4:17" x14ac:dyDescent="0.45">
      <c r="D40" s="27">
        <v>37</v>
      </c>
      <c r="E40" s="26">
        <f t="shared" si="18"/>
        <v>3.7</v>
      </c>
      <c r="F40" s="24" t="str">
        <f t="shared" si="19"/>
        <v>-2,42582700982652+5,42145368833461i</v>
      </c>
      <c r="G40" s="24" t="str">
        <f t="shared" si="12"/>
        <v>-1,84394591984184+5,63515437727429i</v>
      </c>
      <c r="H40" s="24" t="str">
        <f t="shared" si="8"/>
        <v>5,68637175878886+2,42582700982652i</v>
      </c>
      <c r="I40" s="24" t="str">
        <f t="shared" si="9"/>
        <v>5,82852569819711+2,14150842188708i</v>
      </c>
      <c r="J40" s="24" t="str">
        <f t="shared" si="10"/>
        <v>5,81430976880013+2,13440072491666i</v>
      </c>
      <c r="K40" s="24" t="str">
        <f t="shared" si="11"/>
        <v>5,94082270629764+1,84439603294651i</v>
      </c>
      <c r="L40" s="25"/>
      <c r="M40" s="24">
        <f t="shared" si="13"/>
        <v>3.75</v>
      </c>
      <c r="N40" s="24">
        <f t="shared" si="14"/>
        <v>3.8000000000000003</v>
      </c>
      <c r="O40" s="24" t="str">
        <f t="shared" si="15"/>
        <v>-2,14150842188708+5,54274503882594i</v>
      </c>
      <c r="P40" s="24" t="str">
        <f t="shared" si="16"/>
        <v>-2,13440072491666+5,52852910942896i</v>
      </c>
      <c r="Q40" s="24" t="str">
        <f t="shared" si="17"/>
        <v>-1,84439603294651+5,63489376082628i</v>
      </c>
    </row>
    <row r="41" spans="4:17" x14ac:dyDescent="0.45">
      <c r="D41" s="27">
        <v>38</v>
      </c>
      <c r="E41" s="26">
        <f t="shared" si="18"/>
        <v>3.8000000000000003</v>
      </c>
      <c r="F41" s="24" t="str">
        <f t="shared" si="19"/>
        <v>-1,84394591984184+5,63515437727429i</v>
      </c>
      <c r="G41" s="24" t="str">
        <f t="shared" si="12"/>
        <v>-1,23969252649235+5,78949637076175i</v>
      </c>
      <c r="H41" s="24" t="str">
        <f t="shared" si="8"/>
        <v>5,94108332274565+1,84394591984184i</v>
      </c>
      <c r="I41" s="24" t="str">
        <f t="shared" si="9"/>
        <v>6,05266424179896+1,54689175370456i</v>
      </c>
      <c r="J41" s="24" t="str">
        <f t="shared" si="10"/>
        <v>6,0378115334921+1,54131270775189i</v>
      </c>
      <c r="K41" s="24" t="str">
        <f t="shared" si="11"/>
        <v>6,13316872764147+1,24016476649263i</v>
      </c>
      <c r="L41" s="25"/>
      <c r="M41" s="24">
        <f t="shared" si="13"/>
        <v>3.85</v>
      </c>
      <c r="N41" s="24">
        <f t="shared" si="14"/>
        <v>3.9000000000000004</v>
      </c>
      <c r="O41" s="24" t="str">
        <f t="shared" si="15"/>
        <v>-1,54689175370456+5,72735167326638i</v>
      </c>
      <c r="P41" s="24" t="str">
        <f t="shared" si="16"/>
        <v>-1,54131270775189+5,71249896495952i</v>
      </c>
      <c r="Q41" s="24" t="str">
        <f t="shared" si="17"/>
        <v>-1,24016476649263+5,78928564804948i</v>
      </c>
    </row>
    <row r="42" spans="4:17" x14ac:dyDescent="0.45">
      <c r="D42" s="27">
        <v>39</v>
      </c>
      <c r="E42" s="26">
        <f t="shared" si="18"/>
        <v>3.9000000000000004</v>
      </c>
      <c r="F42" s="24" t="str">
        <f t="shared" si="19"/>
        <v>-1,23969252649235+5,78949637076175i</v>
      </c>
      <c r="G42" s="24" t="str">
        <f t="shared" si="12"/>
        <v>-0,619428955069187+5,88255862987767i</v>
      </c>
      <c r="H42" s="24" t="str">
        <f t="shared" si="8"/>
        <v>6,13337945035374+1,23969252649235i</v>
      </c>
      <c r="I42" s="24" t="str">
        <f t="shared" si="9"/>
        <v>6,21307505912963+0,933023553974663i</v>
      </c>
      <c r="J42" s="24" t="str">
        <f t="shared" si="10"/>
        <v>6,19774161050374+0,929038773535868i</v>
      </c>
      <c r="K42" s="24" t="str">
        <f t="shared" si="11"/>
        <v>6,2608014957693+0,619918365441976i</v>
      </c>
      <c r="L42" s="25"/>
      <c r="M42" s="24">
        <f t="shared" si="13"/>
        <v>3.95</v>
      </c>
      <c r="N42" s="24">
        <f t="shared" si="14"/>
        <v>4</v>
      </c>
      <c r="O42" s="24" t="str">
        <f t="shared" si="15"/>
        <v>-0,933023553974663+5,85148099708637i</v>
      </c>
      <c r="P42" s="24" t="str">
        <f t="shared" si="16"/>
        <v>-0,929038773535868+5,83614754846048i</v>
      </c>
      <c r="Q42" s="24" t="str">
        <f t="shared" si="17"/>
        <v>-0,619918365441976+5,88240024811534i</v>
      </c>
    </row>
    <row r="43" spans="4:17" x14ac:dyDescent="0.45">
      <c r="D43" s="27">
        <v>40</v>
      </c>
      <c r="E43" s="26">
        <f t="shared" si="18"/>
        <v>4</v>
      </c>
      <c r="F43" s="24" t="str">
        <f t="shared" si="19"/>
        <v>-0,619428955069187+5,88255862987767i</v>
      </c>
      <c r="G43" s="24" t="str">
        <f t="shared" si="12"/>
        <v>0,010286495179371+5,91306670390538i</v>
      </c>
      <c r="H43" s="24" t="str">
        <f t="shared" si="8"/>
        <v>6,26095987753163+0,619428955069187i</v>
      </c>
      <c r="I43" s="24" t="str">
        <f t="shared" si="9"/>
        <v>6,30779270484423+0,306380961192605i</v>
      </c>
      <c r="J43" s="24" t="str">
        <f t="shared" si="10"/>
        <v>6,2921403051504+0,304039319826975i</v>
      </c>
      <c r="K43" s="24" t="str">
        <f t="shared" si="11"/>
        <v>6,32210111739258-0,00978507544585294i</v>
      </c>
      <c r="L43" s="25"/>
      <c r="M43" s="24">
        <f t="shared" si="13"/>
        <v>4.05</v>
      </c>
      <c r="N43" s="24">
        <f t="shared" si="14"/>
        <v>4.0999999999999996</v>
      </c>
      <c r="O43" s="24" t="str">
        <f t="shared" si="15"/>
        <v>-0,306380961192605+5,91353007763113i</v>
      </c>
      <c r="P43" s="24" t="str">
        <f t="shared" si="16"/>
        <v>-0,304039319826975+5,8978776779373i</v>
      </c>
      <c r="Q43" s="24" t="str">
        <f t="shared" si="17"/>
        <v>0,00978507544585294+5,91296256186037i</v>
      </c>
    </row>
    <row r="44" spans="4:17" x14ac:dyDescent="0.45">
      <c r="D44" s="27">
        <v>41</v>
      </c>
      <c r="E44" s="26">
        <f t="shared" si="18"/>
        <v>4.1000000000000005</v>
      </c>
      <c r="F44" s="24" t="str">
        <f t="shared" si="19"/>
        <v>0,010286495179371+5,91306670390538i</v>
      </c>
      <c r="G44" s="24" t="str">
        <f t="shared" si="12"/>
        <v>0,642768484701418+5,88040890737801i</v>
      </c>
      <c r="H44" s="24" t="str">
        <f t="shared" si="8"/>
        <v>6,32220525943759-0,010286495179371i</v>
      </c>
      <c r="I44" s="24" t="str">
        <f t="shared" si="9"/>
        <v>6,33554422968413-0,32639675815125i</v>
      </c>
      <c r="J44" s="24" t="str">
        <f t="shared" si="10"/>
        <v>6,31973871653554-0,327063706663578i</v>
      </c>
      <c r="K44" s="24" t="str">
        <f t="shared" si="11"/>
        <v>6,31614821944581-0,642260366832925i</v>
      </c>
      <c r="L44" s="25"/>
      <c r="M44" s="24">
        <f t="shared" si="13"/>
        <v>4.1500000000000004</v>
      </c>
      <c r="N44" s="24">
        <f t="shared" si="14"/>
        <v>4.2</v>
      </c>
      <c r="O44" s="24" t="str">
        <f t="shared" si="15"/>
        <v>0,32639675815125+5,91255237914641i</v>
      </c>
      <c r="P44" s="24" t="str">
        <f t="shared" si="16"/>
        <v>0,327063706663578+5,89674686599782i</v>
      </c>
      <c r="Q44" s="24" t="str">
        <f t="shared" si="17"/>
        <v>0,642260366832925+5,88036033323902i</v>
      </c>
    </row>
    <row r="45" spans="4:17" x14ac:dyDescent="0.45">
      <c r="D45" s="27">
        <v>42</v>
      </c>
      <c r="E45" s="26">
        <f t="shared" si="18"/>
        <v>4.2</v>
      </c>
      <c r="F45" s="24" t="str">
        <f t="shared" si="19"/>
        <v>0,642768484701418+5,88040890737801i</v>
      </c>
      <c r="G45" s="24" t="str">
        <f t="shared" si="12"/>
        <v>1,27127536237004+5,78464549786434i</v>
      </c>
      <c r="H45" s="24" t="str">
        <f t="shared" si="8"/>
        <v>6,3161967935848-0,642768484701418i</v>
      </c>
      <c r="I45" s="24" t="str">
        <f t="shared" si="9"/>
        <v>6,29576516225723-0,958578324380658i</v>
      </c>
      <c r="J45" s="24" t="str">
        <f t="shared" si="10"/>
        <v>6,27997467027327-0,95755674281428i</v>
      </c>
      <c r="K45" s="24" t="str">
        <f t="shared" si="11"/>
        <v>6,24273620147131-1,27076595172875i</v>
      </c>
      <c r="L45" s="25"/>
      <c r="M45" s="24">
        <f t="shared" si="13"/>
        <v>4.25</v>
      </c>
      <c r="N45" s="24">
        <f t="shared" si="14"/>
        <v>4.3</v>
      </c>
      <c r="O45" s="24" t="str">
        <f t="shared" si="15"/>
        <v>0,958578324380658+5,84827048314294i</v>
      </c>
      <c r="P45" s="24" t="str">
        <f t="shared" si="16"/>
        <v>0,95755674281428+5,83247999115898i</v>
      </c>
      <c r="Q45" s="24" t="str">
        <f t="shared" si="17"/>
        <v>1,27076595172875+5,78465323309658i</v>
      </c>
    </row>
    <row r="46" spans="4:17" x14ac:dyDescent="0.45">
      <c r="D46" s="27">
        <v>43</v>
      </c>
      <c r="E46" s="26">
        <f t="shared" si="18"/>
        <v>4.3</v>
      </c>
      <c r="F46" s="24" t="str">
        <f t="shared" si="19"/>
        <v>1,27127536237004+5,78464549786434i</v>
      </c>
      <c r="G46" s="24" t="str">
        <f t="shared" si="12"/>
        <v>1,8890807433115+5,62651073215713i</v>
      </c>
      <c r="H46" s="24" t="str">
        <f t="shared" si="8"/>
        <v>6,24272846623907-1,27127536237004i</v>
      </c>
      <c r="I46" s="24" t="str">
        <f t="shared" si="9"/>
        <v>6,18860801852506-1,58341178568199i</v>
      </c>
      <c r="J46" s="24" t="str">
        <f t="shared" si="10"/>
        <v>6,17300119735946-1,58070576329629i</v>
      </c>
      <c r="K46" s="24" t="str">
        <f t="shared" si="11"/>
        <v>6,10237595847947-1,88857548210599i</v>
      </c>
      <c r="L46" s="25"/>
      <c r="M46" s="24">
        <f t="shared" si="13"/>
        <v>4.3499999999999996</v>
      </c>
      <c r="N46" s="24">
        <f t="shared" si="14"/>
        <v>4.3999999999999995</v>
      </c>
      <c r="O46" s="24" t="str">
        <f t="shared" si="15"/>
        <v>1,58341178568199+5,72108172974584i</v>
      </c>
      <c r="P46" s="24" t="str">
        <f t="shared" si="16"/>
        <v>1,58070576329629+5,70547490858024i</v>
      </c>
      <c r="Q46" s="24" t="str">
        <f t="shared" si="17"/>
        <v>1,88857548210599+5,62657492153471i</v>
      </c>
    </row>
    <row r="47" spans="4:17" x14ac:dyDescent="0.45">
      <c r="D47" s="27">
        <v>44</v>
      </c>
      <c r="E47" s="26">
        <f t="shared" si="18"/>
        <v>4.4000000000000004</v>
      </c>
      <c r="F47" s="24" t="str">
        <f t="shared" si="19"/>
        <v>1,8890807433115+5,62651073215713i</v>
      </c>
      <c r="G47" s="24" t="str">
        <f t="shared" si="12"/>
        <v>2,48954517851143+5,40740775375884i</v>
      </c>
      <c r="H47" s="24" t="str">
        <f t="shared" si="8"/>
        <v>6,10231176910189-1,8890807433115i</v>
      </c>
      <c r="I47" s="24" t="str">
        <f t="shared" si="9"/>
        <v>6,01494322530187-2,19419633176659i</v>
      </c>
      <c r="J47" s="24" t="str">
        <f t="shared" si="10"/>
        <v>5,99968744587912-2,18982790457659i</v>
      </c>
      <c r="K47" s="24" t="str">
        <f t="shared" si="11"/>
        <v>5,89629300053202-2,48904948789941i</v>
      </c>
      <c r="L47" s="25"/>
      <c r="M47" s="24">
        <f t="shared" si="13"/>
        <v>4.45</v>
      </c>
      <c r="N47" s="24">
        <f t="shared" si="14"/>
        <v>4.5</v>
      </c>
      <c r="O47" s="24" t="str">
        <f t="shared" si="15"/>
        <v>2,19419633176659+5,53205669499155i</v>
      </c>
      <c r="P47" s="24" t="str">
        <f t="shared" si="16"/>
        <v>2,18982790457659+5,5168009155688i</v>
      </c>
      <c r="Q47" s="24" t="str">
        <f t="shared" si="17"/>
        <v>2,48904948789941+5,40752794169947i</v>
      </c>
    </row>
    <row r="48" spans="4:17" x14ac:dyDescent="0.45">
      <c r="D48" s="27">
        <v>45</v>
      </c>
      <c r="E48" s="26">
        <f t="shared" si="18"/>
        <v>4.5</v>
      </c>
      <c r="F48" s="24" t="str">
        <f t="shared" si="19"/>
        <v>2,48954517851143+5,40740775375884i</v>
      </c>
      <c r="G48" s="24" t="str">
        <f t="shared" si="12"/>
        <v>3,0661871555193+5,12939634052648i</v>
      </c>
      <c r="H48" s="24" t="str">
        <f t="shared" si="8"/>
        <v>5,89617281259139-2,48954517851143i</v>
      </c>
      <c r="I48" s="24" t="str">
        <f t="shared" si="9"/>
        <v>5,77635242408489-2,784353819141i</v>
      </c>
      <c r="J48" s="24" t="str">
        <f t="shared" si="10"/>
        <v>5,76161199205341-2,77836279971568i</v>
      </c>
      <c r="K48" s="24" t="str">
        <f t="shared" si="11"/>
        <v>5,626416975604-3,06570637771677i</v>
      </c>
      <c r="L48" s="25"/>
      <c r="M48" s="24">
        <f t="shared" si="13"/>
        <v>4.55</v>
      </c>
      <c r="N48" s="24">
        <f t="shared" si="14"/>
        <v>4.5999999999999996</v>
      </c>
      <c r="O48" s="24" t="str">
        <f t="shared" si="15"/>
        <v>2,784353819141+5,28293049483327i</v>
      </c>
      <c r="P48" s="24" t="str">
        <f t="shared" si="16"/>
        <v>2,77836279971568+5,26819006280179i</v>
      </c>
      <c r="Q48" s="24" t="str">
        <f t="shared" si="17"/>
        <v>3,06570637771677+5,12957147378727i</v>
      </c>
    </row>
    <row r="49" spans="4:17" x14ac:dyDescent="0.45">
      <c r="D49" s="27">
        <v>46</v>
      </c>
      <c r="E49" s="26">
        <f t="shared" si="18"/>
        <v>4.6000000000000005</v>
      </c>
      <c r="F49" s="24" t="str">
        <f t="shared" si="19"/>
        <v>3,0661871555193+5,12939634052648i</v>
      </c>
      <c r="G49" s="24" t="str">
        <f t="shared" si="12"/>
        <v>3,61275267425926+4,79517361723789i</v>
      </c>
      <c r="H49" s="24" t="str">
        <f t="shared" si="8"/>
        <v>5,62624184234321-3,0661871555193i</v>
      </c>
      <c r="I49" s="24" t="str">
        <f t="shared" si="9"/>
        <v>5,47511420212995-3,34749924763646i</v>
      </c>
      <c r="J49" s="24" t="str">
        <f t="shared" si="10"/>
        <v>5,4610485975241-3,3399428656258i</v>
      </c>
      <c r="K49" s="24" t="str">
        <f t="shared" si="11"/>
        <v>5,29536368274595-3,61229201527171i</v>
      </c>
      <c r="L49" s="25"/>
      <c r="M49" s="24">
        <f t="shared" si="13"/>
        <v>4.6500000000000004</v>
      </c>
      <c r="N49" s="24">
        <f t="shared" si="14"/>
        <v>4.7</v>
      </c>
      <c r="O49" s="24" t="str">
        <f t="shared" si="15"/>
        <v>3,34749924763646+4,97608698275051i</v>
      </c>
      <c r="P49" s="24" t="str">
        <f t="shared" si="16"/>
        <v>3,3399428656258+4,96202137814466i</v>
      </c>
      <c r="Q49" s="24" t="str">
        <f t="shared" si="17"/>
        <v>3,61229201527171+4,7954020539639i</v>
      </c>
    </row>
    <row r="50" spans="4:17" x14ac:dyDescent="0.45">
      <c r="D50" s="27">
        <v>47</v>
      </c>
      <c r="E50" s="26">
        <f t="shared" si="18"/>
        <v>4.7</v>
      </c>
      <c r="F50" s="24" t="str">
        <f t="shared" si="19"/>
        <v>3,61275267425926+4,79517361723789i</v>
      </c>
      <c r="G50" s="24" t="str">
        <f t="shared" si="12"/>
        <v>4,12328265466226+4,40804791287208i</v>
      </c>
      <c r="H50" s="24" t="str">
        <f t="shared" si="8"/>
        <v>5,29513524601994-3,61275267425926i</v>
      </c>
      <c r="I50" s="24" t="str">
        <f t="shared" si="9"/>
        <v>5,11418237801262-3,87750943656026i</v>
      </c>
      <c r="J50" s="24" t="str">
        <f t="shared" si="10"/>
        <v>5,10094453989757-3,86846179315989i</v>
      </c>
      <c r="K50" s="24" t="str">
        <f t="shared" si="11"/>
        <v>4,90640974233982-4,12284712824902i</v>
      </c>
      <c r="L50" s="25"/>
      <c r="M50" s="24">
        <f t="shared" si="13"/>
        <v>4.75</v>
      </c>
      <c r="N50" s="24">
        <f t="shared" si="14"/>
        <v>4.8</v>
      </c>
      <c r="O50" s="24" t="str">
        <f t="shared" si="15"/>
        <v>3,87750943656026+4,61453598352493i</v>
      </c>
      <c r="P50" s="24" t="str">
        <f t="shared" si="16"/>
        <v>3,86846179315989+4,60129814540988i</v>
      </c>
      <c r="Q50" s="24" t="str">
        <f t="shared" si="17"/>
        <v>4,12284712824902+4,4083274379219i</v>
      </c>
    </row>
    <row r="51" spans="4:17" x14ac:dyDescent="0.45">
      <c r="D51" s="27">
        <v>48</v>
      </c>
      <c r="E51" s="26">
        <f t="shared" si="18"/>
        <v>4.8000000000000007</v>
      </c>
      <c r="F51" s="24" t="str">
        <f t="shared" si="19"/>
        <v>4,12328265466226+4,40804791287208i</v>
      </c>
      <c r="G51" s="24" t="str">
        <f t="shared" si="12"/>
        <v>4,59217745344843+3,9719060157592i</v>
      </c>
      <c r="H51" s="24" t="str">
        <f t="shared" si="8"/>
        <v>4,90613021729-4,12328265466226i</v>
      </c>
      <c r="I51" s="24" t="str">
        <f t="shared" si="9"/>
        <v>4,69715704812233-4,36858916552676i</v>
      </c>
      <c r="J51" s="24" t="str">
        <f t="shared" si="10"/>
        <v>4,6848917225791-4,35814050706838i</v>
      </c>
      <c r="K51" s="24" t="str">
        <f t="shared" si="11"/>
        <v>4,46346016847741-4,59177182692017i</v>
      </c>
      <c r="L51" s="25"/>
      <c r="M51" s="24">
        <f t="shared" si="13"/>
        <v>4.8500000000000005</v>
      </c>
      <c r="N51" s="24">
        <f t="shared" si="14"/>
        <v>4.9000000000000004</v>
      </c>
      <c r="O51" s="24" t="str">
        <f t="shared" si="15"/>
        <v>4,36858916552676+4,20188378013897i</v>
      </c>
      <c r="P51" s="24" t="str">
        <f t="shared" si="16"/>
        <v>4,35814050706838+4,18961845459574i</v>
      </c>
      <c r="Q51" s="24" t="str">
        <f t="shared" si="17"/>
        <v>4,59177182692017+3,97223386216524i</v>
      </c>
    </row>
    <row r="52" spans="4:17" x14ac:dyDescent="0.45">
      <c r="D52" s="27">
        <v>49</v>
      </c>
      <c r="E52" s="26">
        <f t="shared" si="18"/>
        <v>4.9000000000000004</v>
      </c>
      <c r="F52" s="24" t="str">
        <f t="shared" si="19"/>
        <v>4,59217745344843+3,9719060157592i</v>
      </c>
      <c r="G52" s="24" t="str">
        <f t="shared" si="12"/>
        <v>5,01425779571458+3,49117415066962i</v>
      </c>
      <c r="H52" s="24" t="str">
        <f t="shared" si="8"/>
        <v>4,46313232207137-4,59217745344843i</v>
      </c>
      <c r="I52" s="24" t="str">
        <f t="shared" si="9"/>
        <v>4,22824867778769-4,815334069552i</v>
      </c>
      <c r="J52" s="24" t="str">
        <f t="shared" si="10"/>
        <v>4,21709084698251-4,80358988733781i</v>
      </c>
      <c r="K52" s="24" t="str">
        <f t="shared" si="11"/>
        <v>3,97100916435699-5,01388653814668i</v>
      </c>
      <c r="L52" s="25"/>
      <c r="M52" s="24">
        <f t="shared" si="13"/>
        <v>4.95</v>
      </c>
      <c r="N52" s="24">
        <f t="shared" si="14"/>
        <v>5</v>
      </c>
      <c r="O52" s="24" t="str">
        <f t="shared" si="15"/>
        <v>4,815334069552+3,74229714308678i</v>
      </c>
      <c r="P52" s="24" t="str">
        <f t="shared" si="16"/>
        <v>4,80358988733781+3,7311393122816i</v>
      </c>
      <c r="Q52" s="24" t="str">
        <f t="shared" si="17"/>
        <v>5,01388653814668+3,49154702702542i</v>
      </c>
    </row>
    <row r="53" spans="4:17" x14ac:dyDescent="0.45">
      <c r="D53" s="27">
        <v>50</v>
      </c>
      <c r="E53" s="26">
        <f t="shared" si="18"/>
        <v>5</v>
      </c>
      <c r="F53" s="24" t="str">
        <f t="shared" si="19"/>
        <v>5,01425779571458+3,49117415066962i</v>
      </c>
      <c r="G53" s="24" t="str">
        <f t="shared" si="12"/>
        <v>5,38482146274216+2,97077306961869i</v>
      </c>
      <c r="H53" s="24" t="str">
        <f t="shared" si="8"/>
        <v>3,97063628800119-5,01425779571458i</v>
      </c>
      <c r="I53" s="24" t="str">
        <f t="shared" si="9"/>
        <v>3,71223559520184-5,21278961011464i</v>
      </c>
      <c r="J53" s="24" t="str">
        <f t="shared" si="10"/>
        <v>3,70230900448184-5,19986957547467i</v>
      </c>
      <c r="K53" s="24" t="str">
        <f t="shared" si="11"/>
        <v>3,43409453428602-5,38448869616276i</v>
      </c>
      <c r="L53" s="25"/>
      <c r="M53" s="24">
        <f t="shared" si="13"/>
        <v>5.05</v>
      </c>
      <c r="N53" s="24">
        <f t="shared" si="14"/>
        <v>5.0999999999999996</v>
      </c>
      <c r="O53" s="24" t="str">
        <f t="shared" si="15"/>
        <v>5,21278961011464+3,24046126088389i</v>
      </c>
      <c r="P53" s="24" t="str">
        <f t="shared" si="16"/>
        <v>5,19986957547467+3,23053467016389i</v>
      </c>
      <c r="Q53" s="24" t="str">
        <f t="shared" si="17"/>
        <v>5,38448869616276+2,97118719312215i</v>
      </c>
    </row>
    <row r="54" spans="4:17" x14ac:dyDescent="0.45">
      <c r="D54" s="27">
        <v>51</v>
      </c>
      <c r="E54" s="26">
        <f t="shared" si="18"/>
        <v>5.1000000000000005</v>
      </c>
      <c r="F54" s="24" t="str">
        <f t="shared" si="19"/>
        <v>5,38482146274216+2,97077306961869i</v>
      </c>
      <c r="G54" s="24" t="str">
        <f t="shared" si="12"/>
        <v>5,69969512027901+2,41606771193749i</v>
      </c>
      <c r="H54" s="24" t="str">
        <f t="shared" si="8"/>
        <v>3,43368041078256-5,38482146274216i</v>
      </c>
      <c r="I54" s="24" t="str">
        <f t="shared" si="9"/>
        <v>3,15441531721593-5,55650548328129i</v>
      </c>
      <c r="J54" s="24" t="str">
        <f t="shared" si="10"/>
        <v>3,14583111618898-5,54254222860296i</v>
      </c>
      <c r="K54" s="24" t="str">
        <f t="shared" si="11"/>
        <v>2,85824617461847-5,69940457436106i</v>
      </c>
      <c r="L54" s="25"/>
      <c r="M54" s="24">
        <f t="shared" si="13"/>
        <v>5.15</v>
      </c>
      <c r="N54" s="24">
        <f t="shared" si="14"/>
        <v>5.2</v>
      </c>
      <c r="O54" s="24" t="str">
        <f t="shared" si="15"/>
        <v>5,55650548328129+2,70153199648158i</v>
      </c>
      <c r="P54" s="24" t="str">
        <f t="shared" si="16"/>
        <v>5,54254222860296+2,69294779545463i</v>
      </c>
      <c r="Q54" s="24" t="str">
        <f t="shared" si="17"/>
        <v>5,69940457436106+2,41651884675839i</v>
      </c>
    </row>
    <row r="55" spans="4:17" x14ac:dyDescent="0.45">
      <c r="D55" s="27">
        <v>52</v>
      </c>
      <c r="E55" s="26">
        <f t="shared" si="18"/>
        <v>5.2</v>
      </c>
      <c r="F55" s="24" t="str">
        <f t="shared" si="19"/>
        <v>5,69969512027901+2,41606771193749i</v>
      </c>
      <c r="G55" s="24" t="str">
        <f t="shared" si="12"/>
        <v>5,95528072103158+1,8328119483138i</v>
      </c>
      <c r="H55" s="24" t="str">
        <f t="shared" si="8"/>
        <v>2,85779503979757-5,69969512027901i</v>
      </c>
      <c r="I55" s="24" t="str">
        <f t="shared" si="9"/>
        <v>2,56055020263684-5,84258487226889i</v>
      </c>
      <c r="J55" s="24" t="str">
        <f t="shared" si="10"/>
        <v>2,55340571503734-5,82772263041085i</v>
      </c>
      <c r="K55" s="24" t="str">
        <f t="shared" si="11"/>
        <v>2,24942917000835-5,95503569178274i</v>
      </c>
      <c r="L55" s="25"/>
      <c r="M55" s="24">
        <f t="shared" si="13"/>
        <v>5.25</v>
      </c>
      <c r="N55" s="24">
        <f t="shared" si="14"/>
        <v>5.3</v>
      </c>
      <c r="O55" s="24" t="str">
        <f t="shared" si="15"/>
        <v>5,84258487226889+2,13108295592354i</v>
      </c>
      <c r="P55" s="24" t="str">
        <f t="shared" si="16"/>
        <v>5,82772263041085+2,12393846832404i</v>
      </c>
      <c r="Q55" s="24" t="str">
        <f t="shared" si="17"/>
        <v>5,95503569178274+1,8332954488964i</v>
      </c>
    </row>
    <row r="56" spans="4:17" x14ac:dyDescent="0.45">
      <c r="D56" s="27">
        <v>53</v>
      </c>
      <c r="E56" s="26">
        <f t="shared" si="18"/>
        <v>5.3000000000000007</v>
      </c>
      <c r="F56" s="24" t="str">
        <f t="shared" si="19"/>
        <v>5,95528072103158+1,8328119483138i</v>
      </c>
      <c r="G56" s="24" t="str">
        <f t="shared" si="12"/>
        <v>6,14859597072941+1,22708897740126i</v>
      </c>
      <c r="H56" s="24" t="str">
        <f t="shared" si="8"/>
        <v>2,24894566942575-5,95528072103158i</v>
      </c>
      <c r="I56" s="24" t="str">
        <f t="shared" si="9"/>
        <v>1,9368079901883-6,06772800450287i</v>
      </c>
      <c r="J56" s="24" t="str">
        <f t="shared" si="10"/>
        <v>1,93118562601474-6,052121120541i</v>
      </c>
      <c r="K56" s="24" t="str">
        <f t="shared" si="11"/>
        <v>1,61398208003769-6,14839928363305i</v>
      </c>
      <c r="L56" s="25"/>
      <c r="M56" s="24">
        <f t="shared" si="13"/>
        <v>5.3500000000000005</v>
      </c>
      <c r="N56" s="24">
        <f t="shared" si="14"/>
        <v>5.4</v>
      </c>
      <c r="O56" s="24" t="str">
        <f t="shared" si="15"/>
        <v>6,06772800450287+1,53504791226222i</v>
      </c>
      <c r="P56" s="24" t="str">
        <f t="shared" si="16"/>
        <v>6,052121120541+1,52942554808866i</v>
      </c>
      <c r="Q56" s="24" t="str">
        <f t="shared" si="17"/>
        <v>6,14839928363305+1,2275998362597i</v>
      </c>
    </row>
    <row r="57" spans="4:17" x14ac:dyDescent="0.45">
      <c r="D57" s="27">
        <v>54</v>
      </c>
      <c r="E57" s="26">
        <f t="shared" si="18"/>
        <v>5.4</v>
      </c>
      <c r="F57" s="24" t="str">
        <f t="shared" si="19"/>
        <v>6,14859597072941+1,22708897740126i</v>
      </c>
      <c r="G57" s="24" t="str">
        <f t="shared" si="12"/>
        <v>6,2773084083203+0,605247991642745i</v>
      </c>
      <c r="H57" s="24" t="str">
        <f t="shared" si="8"/>
        <v>1,61347122117925-6,14859597072941i</v>
      </c>
      <c r="I57" s="24" t="str">
        <f t="shared" si="9"/>
        <v>1,28969783410924-6,22926953178837i</v>
      </c>
      <c r="J57" s="24" t="str">
        <f t="shared" si="10"/>
        <v>1,28566415605629-6,21308086243487i</v>
      </c>
      <c r="K57" s="24" t="str">
        <f t="shared" si="11"/>
        <v>0,958551053942969-6,27716238633504i</v>
      </c>
      <c r="L57" s="25"/>
      <c r="M57" s="24">
        <f t="shared" si="13"/>
        <v>5.45</v>
      </c>
      <c r="N57" s="24">
        <f t="shared" si="14"/>
        <v>5.5</v>
      </c>
      <c r="O57" s="24" t="str">
        <f t="shared" si="15"/>
        <v>6,22926953178837+0,919659178864789i</v>
      </c>
      <c r="P57" s="24" t="str">
        <f t="shared" si="16"/>
        <v>6,21308086243487+0,915625500811841i</v>
      </c>
      <c r="Q57" s="24" t="str">
        <f t="shared" si="17"/>
        <v>6,27716238633504+0,605780891157773i</v>
      </c>
    </row>
    <row r="58" spans="4:17" x14ac:dyDescent="0.45">
      <c r="D58" s="27">
        <v>55</v>
      </c>
      <c r="E58" s="26">
        <f t="shared" si="18"/>
        <v>5.5</v>
      </c>
      <c r="F58" s="24" t="str">
        <f t="shared" si="19"/>
        <v>6,2773084083203+0,605247991642745i</v>
      </c>
      <c r="G58" s="24" t="str">
        <f t="shared" si="12"/>
        <v>6,33976271699301-0,026162229370572i</v>
      </c>
      <c r="H58" s="24" t="str">
        <f t="shared" si="8"/>
        <v>0,958018154427941-6,2773084083203i</v>
      </c>
      <c r="I58" s="24" t="str">
        <f t="shared" si="9"/>
        <v>0,626002499864861-6,3252093160417i</v>
      </c>
      <c r="J58" s="24" t="str">
        <f t="shared" si="10"/>
        <v>0,623607454478791-6,30860853331354i</v>
      </c>
      <c r="K58" s="24" t="str">
        <f t="shared" si="11"/>
        <v>0,290020457247552-6,33966915376818i</v>
      </c>
      <c r="L58" s="25"/>
      <c r="M58" s="24">
        <f t="shared" si="13"/>
        <v>5.55</v>
      </c>
      <c r="N58" s="24">
        <f t="shared" si="14"/>
        <v>5.6</v>
      </c>
      <c r="O58" s="24" t="str">
        <f t="shared" si="15"/>
        <v>6,3252093160417+0,29138257122673i</v>
      </c>
      <c r="P58" s="24" t="str">
        <f t="shared" si="16"/>
        <v>6,30860853331354+0,28898752584066i</v>
      </c>
      <c r="Q58" s="24" t="str">
        <f t="shared" si="17"/>
        <v>6,33966915376818-0,025612861688609i</v>
      </c>
    </row>
    <row r="59" spans="4:17" x14ac:dyDescent="0.45">
      <c r="D59" s="27">
        <v>56</v>
      </c>
      <c r="E59" s="26">
        <f t="shared" si="18"/>
        <v>5.6000000000000005</v>
      </c>
      <c r="F59" s="24" t="str">
        <f t="shared" si="19"/>
        <v>6,33976271699301-0,026162229370572i</v>
      </c>
      <c r="G59" s="24" t="str">
        <f t="shared" si="12"/>
        <v>6,33500095311972-0,660462104839927i</v>
      </c>
      <c r="H59" s="24" t="str">
        <f t="shared" si="8"/>
        <v>0,289471089565588-6,33976271699301i</v>
      </c>
      <c r="I59" s="24" t="str">
        <f t="shared" si="9"/>
        <v>-0,0472925749047183-6,35423627147129i</v>
      </c>
      <c r="J59" s="24" t="str">
        <f t="shared" si="10"/>
        <v>-0,0480162526286323-6,33739808824777i</v>
      </c>
      <c r="K59" s="24" t="str">
        <f t="shared" si="11"/>
        <v>-0,38455926689653-6,33496109173015i</v>
      </c>
      <c r="L59" s="25"/>
      <c r="M59" s="24">
        <f t="shared" si="13"/>
        <v>5.65</v>
      </c>
      <c r="N59" s="24">
        <f t="shared" si="14"/>
        <v>5.7</v>
      </c>
      <c r="O59" s="24" t="str">
        <f t="shared" si="15"/>
        <v>6,35423627147129-0,343150365220223i</v>
      </c>
      <c r="P59" s="24" t="str">
        <f t="shared" si="16"/>
        <v>6,33739808824777-0,343874042944137i</v>
      </c>
      <c r="Q59" s="24" t="str">
        <f t="shared" si="17"/>
        <v>6,33496109173015-0,659902038195349i</v>
      </c>
    </row>
    <row r="60" spans="4:17" x14ac:dyDescent="0.45">
      <c r="D60" s="27">
        <v>57</v>
      </c>
      <c r="E60" s="26">
        <f t="shared" si="18"/>
        <v>5.7</v>
      </c>
      <c r="F60" s="24" t="str">
        <f t="shared" si="19"/>
        <v>6,33500095311972-0,660462104839927i</v>
      </c>
      <c r="G60" s="24" t="str">
        <f t="shared" si="12"/>
        <v>6,26277545413247-1,29091169721407i</v>
      </c>
      <c r="H60" s="24" t="str">
        <f t="shared" si="8"/>
        <v>-0,385119333541108-6,33500095311972i</v>
      </c>
      <c r="I60" s="24" t="str">
        <f t="shared" si="9"/>
        <v>-0,723072613746284-6,31574498644266i</v>
      </c>
      <c r="J60" s="24" t="str">
        <f t="shared" si="10"/>
        <v>-0,722109815412431-6,29884732243241i</v>
      </c>
      <c r="K60" s="24" t="str">
        <f t="shared" si="11"/>
        <v>-1,05804574737629-6,26278997157848i</v>
      </c>
      <c r="L60" s="25"/>
      <c r="M60" s="24">
        <f t="shared" si="13"/>
        <v>5.75</v>
      </c>
      <c r="N60" s="24">
        <f t="shared" si="14"/>
        <v>5.8</v>
      </c>
      <c r="O60" s="24" t="str">
        <f t="shared" si="15"/>
        <v>6,31574498644266-0,977212152495913i</v>
      </c>
      <c r="P60" s="24" t="str">
        <f t="shared" si="16"/>
        <v>6,29884732243241-0,97624935416206i</v>
      </c>
      <c r="Q60" s="24" t="str">
        <f t="shared" si="17"/>
        <v>6,26278997157848-1,29034683708317i</v>
      </c>
    </row>
    <row r="61" spans="4:17" x14ac:dyDescent="0.45">
      <c r="D61" s="27">
        <v>58</v>
      </c>
      <c r="E61" s="26">
        <f t="shared" si="18"/>
        <v>5.8000000000000007</v>
      </c>
      <c r="F61" s="24" t="str">
        <f t="shared" si="19"/>
        <v>6,26277545413247-1,29091169721407i</v>
      </c>
      <c r="G61" s="24" t="str">
        <f t="shared" si="12"/>
        <v>6,12355426302614-1,910782074289i</v>
      </c>
      <c r="H61" s="24" t="str">
        <f t="shared" si="8"/>
        <v>-1,05861060750719-6,26277545413247i</v>
      </c>
      <c r="I61" s="24" t="str">
        <f t="shared" si="9"/>
        <v>-1,39416846100076-6,20984492375711i</v>
      </c>
      <c r="J61" s="24" t="str">
        <f t="shared" si="10"/>
        <v>-1,391521934482-6,19306703108243i</v>
      </c>
      <c r="K61" s="24" t="str">
        <f t="shared" si="11"/>
        <v>-1,72328006790719-6,12362326068427i</v>
      </c>
      <c r="L61" s="25"/>
      <c r="M61" s="24">
        <f t="shared" si="13"/>
        <v>5.8500000000000005</v>
      </c>
      <c r="N61" s="24">
        <f t="shared" si="14"/>
        <v>5.9</v>
      </c>
      <c r="O61" s="24" t="str">
        <f t="shared" si="15"/>
        <v>6,20984492375711-1,60405046992069i</v>
      </c>
      <c r="P61" s="24" t="str">
        <f t="shared" si="16"/>
        <v>6,19306703108243-1,60140394340193i</v>
      </c>
      <c r="Q61" s="24" t="str">
        <f t="shared" si="17"/>
        <v>6,12362326068427-1,91021840032231i</v>
      </c>
    </row>
    <row r="62" spans="4:17" x14ac:dyDescent="0.45">
      <c r="D62" s="27">
        <v>59</v>
      </c>
      <c r="E62" s="26">
        <f t="shared" si="18"/>
        <v>5.9</v>
      </c>
      <c r="F62" s="24" t="str">
        <f t="shared" si="19"/>
        <v>6,12355426302614-1,910782074289i</v>
      </c>
      <c r="G62" s="24" t="str">
        <f t="shared" si="12"/>
        <v>5,91851898581317-2,51342683577073i</v>
      </c>
      <c r="H62" s="24" t="str">
        <f t="shared" si="8"/>
        <v>-1,72384374187388-6,12355426302614i</v>
      </c>
      <c r="I62" s="24" t="str">
        <f t="shared" si="9"/>
        <v>-2,05343238000544-6,03736207593245i</v>
      </c>
      <c r="J62" s="24" t="str">
        <f t="shared" si="10"/>
        <v>-2,04912277065075-6,02088264402587i</v>
      </c>
      <c r="K62" s="24" t="str">
        <f t="shared" si="11"/>
        <v>-2,37316258959213-5,91864198596106i</v>
      </c>
      <c r="L62" s="25"/>
      <c r="M62" s="24">
        <f t="shared" si="13"/>
        <v>5.95</v>
      </c>
      <c r="N62" s="24">
        <f t="shared" si="14"/>
        <v>6</v>
      </c>
      <c r="O62" s="24" t="str">
        <f t="shared" si="15"/>
        <v>6,03736207593245-2,21695978744031i</v>
      </c>
      <c r="P62" s="24" t="str">
        <f t="shared" si="16"/>
        <v>6,02088264402587-2,21265017808562i</v>
      </c>
      <c r="Q62" s="24" t="str">
        <f t="shared" si="17"/>
        <v>5,91864198596106-2,51287033869159i</v>
      </c>
    </row>
    <row r="63" spans="4:17" x14ac:dyDescent="0.45">
      <c r="D63" s="27">
        <v>60</v>
      </c>
      <c r="E63" s="26">
        <f t="shared" si="18"/>
        <v>6</v>
      </c>
      <c r="F63" s="24" t="str">
        <f t="shared" si="19"/>
        <v>5,91851898581317-2,51342683577073i</v>
      </c>
      <c r="G63" s="24" t="str">
        <f t="shared" si="12"/>
        <v>5,64955507801907-3,09235304673408i</v>
      </c>
      <c r="H63" s="24" t="str">
        <f t="shared" si="8"/>
        <v>-2,37371908667127-5,91851898581317i</v>
      </c>
      <c r="I63" s="24" t="str">
        <f t="shared" si="9"/>
        <v>-2,69381389091169-5,79983303147961i</v>
      </c>
      <c r="J63" s="24" t="str">
        <f t="shared" si="10"/>
        <v>-2,68787959319501-5,78382829126759i</v>
      </c>
      <c r="K63" s="24" t="str">
        <f t="shared" si="11"/>
        <v>-3,00072841276144-5,64973102649367i</v>
      </c>
      <c r="L63" s="25"/>
      <c r="M63" s="24">
        <f t="shared" si="13"/>
        <v>6.05</v>
      </c>
      <c r="N63" s="24">
        <f t="shared" si="14"/>
        <v>6.1</v>
      </c>
      <c r="O63" s="24" t="str">
        <f t="shared" si="15"/>
        <v>5,79983303147961-2,80935278506139i</v>
      </c>
      <c r="P63" s="24" t="str">
        <f t="shared" si="16"/>
        <v>5,78382829126759-2,80341848734471i</v>
      </c>
      <c r="Q63" s="24" t="str">
        <f t="shared" si="17"/>
        <v>5,64973102649367-3,09180966489749i</v>
      </c>
    </row>
    <row r="64" spans="4:17" x14ac:dyDescent="0.45">
      <c r="D64" s="27">
        <v>61</v>
      </c>
      <c r="E64" s="26">
        <f t="shared" si="18"/>
        <v>6.1000000000000005</v>
      </c>
      <c r="F64" s="24" t="str">
        <f t="shared" si="19"/>
        <v>5,64955507801907-3,09235304673408i</v>
      </c>
      <c r="G64" s="24" t="str">
        <f t="shared" si="12"/>
        <v>5,31923463636313-3,64129082402344i</v>
      </c>
      <c r="H64" s="24" t="str">
        <f t="shared" si="8"/>
        <v>-3,00127179459803-5,64955507801907i</v>
      </c>
      <c r="I64" s="24" t="str">
        <f t="shared" si="9"/>
        <v>-3,30843484620877-5,49949148828917i</v>
      </c>
      <c r="J64" s="24" t="str">
        <f t="shared" si="10"/>
        <v>-3,30093166672228-5,48413333570863i</v>
      </c>
      <c r="K64" s="24" t="str">
        <f t="shared" si="11"/>
        <v>-3,59922167889619-5,31946191134684i</v>
      </c>
      <c r="L64" s="25"/>
      <c r="M64" s="24">
        <f t="shared" si="13"/>
        <v>6.15</v>
      </c>
      <c r="N64" s="24">
        <f t="shared" si="14"/>
        <v>6.2</v>
      </c>
      <c r="O64" s="24" t="str">
        <f t="shared" si="15"/>
        <v>5,49949148828917-3,37483080063503i</v>
      </c>
      <c r="P64" s="24" t="str">
        <f t="shared" si="16"/>
        <v>5,48413333570863-3,36732762114854i</v>
      </c>
      <c r="Q64" s="24" t="str">
        <f t="shared" si="17"/>
        <v>5,31946191134684-3,64076638030494i</v>
      </c>
    </row>
    <row r="65" spans="4:17" x14ac:dyDescent="0.45">
      <c r="D65" s="27">
        <v>62</v>
      </c>
      <c r="E65" s="26">
        <f t="shared" si="18"/>
        <v>6.2</v>
      </c>
      <c r="F65" s="24" t="str">
        <f t="shared" si="19"/>
        <v>5,31923463636313-3,64129082402344i</v>
      </c>
      <c r="G65" s="24" t="str">
        <f t="shared" si="12"/>
        <v>4,93079185127251-4,15426083323901i</v>
      </c>
      <c r="H65" s="24" t="str">
        <f t="shared" si="8"/>
        <v>-3,59974612261469-5,31923463636313i</v>
      </c>
      <c r="I65" s="24" t="str">
        <f t="shared" si="9"/>
        <v>-3,89066294756782-5,1392473302324i</v>
      </c>
      <c r="J65" s="24" t="str">
        <f t="shared" si="10"/>
        <v>-3,88166358226128-5,12470148898474i</v>
      </c>
      <c r="K65" s="24" t="str">
        <f t="shared" si="11"/>
        <v>-4,16216792316408-4,931068278137i</v>
      </c>
      <c r="L65" s="25"/>
      <c r="M65" s="24">
        <f t="shared" si="13"/>
        <v>6.25</v>
      </c>
      <c r="N65" s="24">
        <f t="shared" si="14"/>
        <v>6.3</v>
      </c>
      <c r="O65" s="24" t="str">
        <f t="shared" si="15"/>
        <v>5,1392473302324-3,9072525558416i</v>
      </c>
      <c r="P65" s="24" t="str">
        <f t="shared" si="16"/>
        <v>5,12470148898474-3,89825319053506i</v>
      </c>
      <c r="Q65" s="24" t="str">
        <f t="shared" si="17"/>
        <v>4,931068278137-4,15376097292191i</v>
      </c>
    </row>
    <row r="66" spans="4:17" x14ac:dyDescent="0.45">
      <c r="D66" s="27">
        <v>63</v>
      </c>
      <c r="E66" s="26">
        <f t="shared" si="18"/>
        <v>6.3000000000000007</v>
      </c>
      <c r="F66" s="24" t="str">
        <f t="shared" si="19"/>
        <v>4,93079185127251-4,15426083323901i</v>
      </c>
      <c r="G66" s="24" t="str">
        <f t="shared" si="12"/>
        <v>4,48809135398916-4,62563897343768i</v>
      </c>
      <c r="H66" s="24" t="str">
        <f t="shared" si="8"/>
        <v>-4,16266778348119-4,93079185127251i</v>
      </c>
      <c r="I66" s="24" t="str">
        <f t="shared" si="9"/>
        <v>-4,43418292156342-4,72265846209845i</v>
      </c>
      <c r="J66" s="24" t="str">
        <f t="shared" si="10"/>
        <v>-4,42377625210471-4,70908270519434i</v>
      </c>
      <c r="K66" s="24" t="str">
        <f t="shared" si="11"/>
        <v>-4,68344370618369-4,48841422606204i</v>
      </c>
      <c r="L66" s="25"/>
      <c r="M66" s="24">
        <f t="shared" si="13"/>
        <v>6.3500000000000005</v>
      </c>
      <c r="N66" s="24">
        <f t="shared" si="14"/>
        <v>6.4</v>
      </c>
      <c r="O66" s="24" t="str">
        <f t="shared" si="15"/>
        <v>4,72265846209845-4,40080042580264i</v>
      </c>
      <c r="P66" s="24" t="str">
        <f t="shared" si="16"/>
        <v>4,70908270519434-4,39039375634393i</v>
      </c>
      <c r="Q66" s="24" t="str">
        <f t="shared" si="17"/>
        <v>4,48841422606204-4,62516910375844i</v>
      </c>
    </row>
    <row r="67" spans="4:17" x14ac:dyDescent="0.45">
      <c r="D67" s="27">
        <v>64</v>
      </c>
      <c r="E67" s="26">
        <f t="shared" si="18"/>
        <v>6.4</v>
      </c>
      <c r="F67" s="24" t="str">
        <f t="shared" si="19"/>
        <v>4,48809135398916-4,62563897343768i</v>
      </c>
      <c r="G67" s="24" t="str">
        <f t="shared" ref="G67:G98" si="20">IMSUM(F67,IMPRODUCT((IMSUM(H67,IMPRODUCT(2,I67),IMPRODUCT(2,J67),K67)),$B$4/6))</f>
        <v>3,99558976791962-5,05021755386983i</v>
      </c>
      <c r="H67" s="24" t="str">
        <f t="shared" si="8"/>
        <v>-4,68391357586293-4,48809135398916i</v>
      </c>
      <c r="I67" s="24" t="str">
        <f t="shared" si="9"/>
        <v>-4,93306459406962-4,25389567519601i</v>
      </c>
      <c r="J67" s="24" t="str">
        <f t="shared" si="10"/>
        <v>-4,92135481012996-4,24143812428568i</v>
      </c>
      <c r="K67" s="24" t="str">
        <f t="shared" si="11"/>
        <v>-5,15734277991016-3,99595587297616i</v>
      </c>
      <c r="L67" s="25"/>
      <c r="M67" s="24">
        <f t="shared" ref="M67:M103" si="21">E67+(1/2)*$B$4</f>
        <v>6.45</v>
      </c>
      <c r="N67" s="24">
        <f t="shared" ref="N67:N103" si="22">E67+$B$4</f>
        <v>6.5</v>
      </c>
      <c r="O67" s="24" t="str">
        <f t="shared" ref="O67:O103" si="23">IMSUM(F67,IMPRODUCT(1/2,H67,$B$4))</f>
        <v>4,25389567519601-4,85004354113714i</v>
      </c>
      <c r="P67" s="24" t="str">
        <f t="shared" ref="P67:P103" si="24">IMSUM(F67,IMPRODUCT(1/2,I67,$B$4))</f>
        <v>4,24143812428568-4,83833375719748i</v>
      </c>
      <c r="Q67" s="24" t="str">
        <f t="shared" ref="Q67:Q103" si="25">IMSUM(F67,IMPRODUCT(J67,$B$4))</f>
        <v>3,99595587297616-5,04978278586625i</v>
      </c>
    </row>
    <row r="68" spans="4:17" x14ac:dyDescent="0.45">
      <c r="D68" s="27">
        <v>65</v>
      </c>
      <c r="E68" s="26">
        <f t="shared" ref="E68:E99" si="26">D68*$B$4+$B$3</f>
        <v>6.5</v>
      </c>
      <c r="F68" s="24" t="str">
        <f t="shared" ref="F68:F103" si="27">G67</f>
        <v>3,99558976791962-5,05021755386983i</v>
      </c>
      <c r="G68" s="24" t="str">
        <f t="shared" si="20"/>
        <v>3,45829084674072-5,42326230171021i</v>
      </c>
      <c r="H68" s="24" t="str">
        <f t="shared" ref="H68:H103" si="28">IMSUM((1/2)*(($B$7/$B$6)^(1/2))*$B$8*SIN(E68)/$B$7,IMPRODUCT(COMPLEX(0,-1),(($B$6/$B$7)^(1/2)),F68))</f>
        <v>-5,15777754791374-3,99558976791962i</v>
      </c>
      <c r="I68" s="24" t="str">
        <f t="shared" ref="I68:I103" si="29">IMSUM((1/2)*(($B$7/$B$6)^(1/2))*$B$8*SIN(M68)/$B$7,IMPRODUCT(COMPLEX(0,-1),(($B$6/$B$7)^(1/2)),O68))</f>
        <v>-5,3818271334522-3,73770089052393i</v>
      </c>
      <c r="J68" s="24" t="str">
        <f t="shared" ref="J68:J103" si="30">IMSUM((1/2)*(($B$7/$B$6)^(1/2))*$B$8*SIN(M68)/$B$7,IMPRODUCT(COMPLEX(0,-1),(($B$6/$B$7)^(1/2)),P68))</f>
        <v>-5,36893268958242-3,72649841124701i</v>
      </c>
      <c r="K68" s="24" t="str">
        <f t="shared" ref="K68:K103" si="31">IMSUM((1/2)*(($B$7/$B$6)^(1/2))*$B$8*SIN(N68)/$B$7,IMPRODUCT(COMPLEX(0,-1),(($B$6/$B$7)^(1/2)),Q68))</f>
        <v>-5,57863807675122-3,45869649896138i</v>
      </c>
      <c r="L68" s="25"/>
      <c r="M68" s="24">
        <f t="shared" si="21"/>
        <v>6.55</v>
      </c>
      <c r="N68" s="24">
        <f t="shared" si="22"/>
        <v>6.6</v>
      </c>
      <c r="O68" s="24" t="str">
        <f t="shared" si="23"/>
        <v>3,73770089052393-5,24999704226581i</v>
      </c>
      <c r="P68" s="24" t="str">
        <f t="shared" si="24"/>
        <v>3,72649841124701-5,23710259839603i</v>
      </c>
      <c r="Q68" s="24" t="str">
        <f t="shared" si="25"/>
        <v>3,45869649896138-5,42286739499453i</v>
      </c>
    </row>
    <row r="69" spans="4:17" x14ac:dyDescent="0.45">
      <c r="D69" s="27">
        <v>66</v>
      </c>
      <c r="E69" s="26">
        <f t="shared" si="26"/>
        <v>6.6000000000000005</v>
      </c>
      <c r="F69" s="24" t="str">
        <f t="shared" si="27"/>
        <v>3,45829084674072-5,42326230171021i</v>
      </c>
      <c r="G69" s="24" t="str">
        <f t="shared" si="20"/>
        <v>2,88169465083134-5,74056458147996i</v>
      </c>
      <c r="H69" s="24" t="str">
        <f t="shared" si="28"/>
        <v>-5,5790329834669-3,45829084674072i</v>
      </c>
      <c r="I69" s="24" t="str">
        <f t="shared" si="29"/>
        <v>-5,77549877079365-3,17933919756738i</v>
      </c>
      <c r="J69" s="24" t="str">
        <f t="shared" si="30"/>
        <v>-5,76155118833498-3,16951590820104i</v>
      </c>
      <c r="K69" s="24" t="str">
        <f t="shared" si="31"/>
        <v>-5,94263885283861-2,88213572790722i</v>
      </c>
      <c r="L69" s="25"/>
      <c r="M69" s="24">
        <f t="shared" si="21"/>
        <v>6.65</v>
      </c>
      <c r="N69" s="24">
        <f t="shared" si="22"/>
        <v>6.7</v>
      </c>
      <c r="O69" s="24" t="str">
        <f t="shared" si="23"/>
        <v>3,17933919756738-5,59617684404725i</v>
      </c>
      <c r="P69" s="24" t="str">
        <f t="shared" si="24"/>
        <v>3,16951590820104-5,58222926158858i</v>
      </c>
      <c r="Q69" s="24" t="str">
        <f t="shared" si="25"/>
        <v>2,88213572790722-5,74021389253031i</v>
      </c>
    </row>
    <row r="70" spans="4:17" x14ac:dyDescent="0.45">
      <c r="D70" s="27">
        <v>67</v>
      </c>
      <c r="E70" s="26">
        <f t="shared" si="26"/>
        <v>6.7</v>
      </c>
      <c r="F70" s="24" t="str">
        <f t="shared" si="27"/>
        <v>2,88169465083134-5,74056458147996i</v>
      </c>
      <c r="G70" s="24" t="str">
        <f t="shared" si="20"/>
        <v>2,27174127811293-5,99848825528017i</v>
      </c>
      <c r="H70" s="24" t="str">
        <f t="shared" si="28"/>
        <v>-5,94298954178826-2,88169465083134i</v>
      </c>
      <c r="I70" s="24" t="str">
        <f t="shared" si="29"/>
        <v>-6,10967135091184-2,58454517374193i</v>
      </c>
      <c r="J70" s="24" t="str">
        <f t="shared" si="30"/>
        <v>-6,09481387705737-2,57621108328575i</v>
      </c>
      <c r="K70" s="24" t="str">
        <f t="shared" si="31"/>
        <v>-6,24524236537784-2,2722132631256i</v>
      </c>
      <c r="L70" s="25"/>
      <c r="M70" s="24">
        <f t="shared" si="21"/>
        <v>6.75</v>
      </c>
      <c r="N70" s="24">
        <f t="shared" si="22"/>
        <v>6.8</v>
      </c>
      <c r="O70" s="24" t="str">
        <f t="shared" si="23"/>
        <v>2,58454517374193-5,88464931402153i</v>
      </c>
      <c r="P70" s="24" t="str">
        <f t="shared" si="24"/>
        <v>2,57621108328575-5,86979184016706i</v>
      </c>
      <c r="Q70" s="24" t="str">
        <f t="shared" si="25"/>
        <v>2,2722132631256-5,99818568980854i</v>
      </c>
    </row>
    <row r="71" spans="4:17" x14ac:dyDescent="0.45">
      <c r="D71" s="27">
        <v>68</v>
      </c>
      <c r="E71" s="26">
        <f t="shared" si="26"/>
        <v>6.8000000000000007</v>
      </c>
      <c r="F71" s="24" t="str">
        <f t="shared" si="27"/>
        <v>2,27174127811293-5,99848825528017i</v>
      </c>
      <c r="G71" s="24" t="str">
        <f t="shared" si="20"/>
        <v>1,6347497246543-6,19401066757589i</v>
      </c>
      <c r="H71" s="24" t="str">
        <f t="shared" si="28"/>
        <v>-6,24554493084947-2,27174127811293i</v>
      </c>
      <c r="I71" s="24" t="str">
        <f t="shared" si="29"/>
        <v>-6,38054912040983-1,95946403157046i</v>
      </c>
      <c r="J71" s="24" t="str">
        <f t="shared" si="30"/>
        <v>-6,3649352580827-1,95271382209244i</v>
      </c>
      <c r="K71" s="24" t="str">
        <f t="shared" si="31"/>
        <v>-6,48297951968351-1,63524775230466i</v>
      </c>
      <c r="L71" s="25"/>
      <c r="M71" s="24">
        <f t="shared" si="21"/>
        <v>6.8500000000000005</v>
      </c>
      <c r="N71" s="24">
        <f t="shared" si="22"/>
        <v>6.9</v>
      </c>
      <c r="O71" s="24" t="str">
        <f t="shared" si="23"/>
        <v>1,95946403157046-6,11207531918582i</v>
      </c>
      <c r="P71" s="24" t="str">
        <f t="shared" si="24"/>
        <v>1,95271382209244-6,09646145685869i</v>
      </c>
      <c r="Q71" s="24" t="str">
        <f t="shared" si="25"/>
        <v>1,63524775230466-6,19375963748941i</v>
      </c>
    </row>
    <row r="72" spans="4:17" x14ac:dyDescent="0.45">
      <c r="D72" s="27">
        <v>69</v>
      </c>
      <c r="E72" s="26">
        <f t="shared" si="26"/>
        <v>6.9</v>
      </c>
      <c r="F72" s="24" t="str">
        <f t="shared" si="27"/>
        <v>1,6347497246543-6,19401066757589i</v>
      </c>
      <c r="G72" s="24" t="str">
        <f t="shared" si="20"/>
        <v>0,977352503789418-6,32475729852603i</v>
      </c>
      <c r="H72" s="24" t="str">
        <f t="shared" si="28"/>
        <v>-6,48323054976999-1,6347497246543i</v>
      </c>
      <c r="I72" s="24" t="str">
        <f t="shared" si="29"/>
        <v>-6,58499121789012-1,3105881971658i</v>
      </c>
      <c r="J72" s="24" t="str">
        <f t="shared" si="30"/>
        <v>-6,56878314151569-1,30550016375979i</v>
      </c>
      <c r="K72" s="24" t="str">
        <f t="shared" si="31"/>
        <v>-6,65305398331127-0,977871410502731i</v>
      </c>
      <c r="L72" s="25"/>
      <c r="M72" s="24">
        <f t="shared" si="21"/>
        <v>6.95</v>
      </c>
      <c r="N72" s="24">
        <f t="shared" si="22"/>
        <v>7</v>
      </c>
      <c r="O72" s="24" t="str">
        <f t="shared" si="23"/>
        <v>1,3105881971658-6,27574815380861i</v>
      </c>
      <c r="P72" s="24" t="str">
        <f t="shared" si="24"/>
        <v>1,30550016375979-6,25954007743418i</v>
      </c>
      <c r="Q72" s="24" t="str">
        <f t="shared" si="25"/>
        <v>0,977871410502731-6,32456068395187i</v>
      </c>
    </row>
    <row r="73" spans="4:17" x14ac:dyDescent="0.45">
      <c r="D73" s="27">
        <v>70</v>
      </c>
      <c r="E73" s="26">
        <f t="shared" si="26"/>
        <v>7</v>
      </c>
      <c r="F73" s="24" t="str">
        <f t="shared" si="27"/>
        <v>0,977352503789418-6,32475729852603i</v>
      </c>
      <c r="G73" s="24" t="str">
        <f t="shared" si="20"/>
        <v>0,306426699429343-6,38902969513205i</v>
      </c>
      <c r="H73" s="24" t="str">
        <f t="shared" si="28"/>
        <v>-6,65325059788542-0,977352503789418i</v>
      </c>
      <c r="I73" s="24" t="str">
        <f t="shared" si="29"/>
        <v>-6,72054739618038-0,644689973895147i</v>
      </c>
      <c r="J73" s="24" t="str">
        <f t="shared" si="30"/>
        <v>-6,70391426968567-0,641325133980399i</v>
      </c>
      <c r="K73" s="24" t="str">
        <f t="shared" si="31"/>
        <v>-6,75337433198701-0,306961076820851i</v>
      </c>
      <c r="L73" s="25"/>
      <c r="M73" s="24">
        <f t="shared" si="21"/>
        <v>7.05</v>
      </c>
      <c r="N73" s="24">
        <f t="shared" si="22"/>
        <v>7.1</v>
      </c>
      <c r="O73" s="24" t="str">
        <f t="shared" si="23"/>
        <v>0,644689973895147-6,3736249237155i</v>
      </c>
      <c r="P73" s="24" t="str">
        <f t="shared" si="24"/>
        <v>0,641325133980399-6,35699179722079i</v>
      </c>
      <c r="Q73" s="24" t="str">
        <f t="shared" si="25"/>
        <v>0,306961076820851-6,38888981192407i</v>
      </c>
    </row>
    <row r="74" spans="4:17" x14ac:dyDescent="0.45">
      <c r="D74" s="27">
        <v>71</v>
      </c>
      <c r="E74" s="26">
        <f t="shared" si="26"/>
        <v>7.1000000000000005</v>
      </c>
      <c r="F74" s="24" t="str">
        <f t="shared" si="27"/>
        <v>0,306426699429343-6,38902969513205i</v>
      </c>
      <c r="G74" s="24" t="str">
        <f t="shared" si="20"/>
        <v>-0,370977830793559-6,38582635910461i</v>
      </c>
      <c r="H74" s="24" t="str">
        <f t="shared" si="28"/>
        <v>-6,75351421519499-0,306426699429343i</v>
      </c>
      <c r="I74" s="24" t="str">
        <f t="shared" si="29"/>
        <v>-6,78548657628423+0,031249011330407i</v>
      </c>
      <c r="J74" s="24" t="str">
        <f t="shared" si="30"/>
        <v>-6,76860279074624+0,032847629384868i</v>
      </c>
      <c r="K74" s="24" t="str">
        <f t="shared" si="31"/>
        <v>-6,78257886411814+0,370433579645281i</v>
      </c>
      <c r="L74" s="25"/>
      <c r="M74" s="24">
        <f t="shared" si="21"/>
        <v>7.15</v>
      </c>
      <c r="N74" s="24">
        <f t="shared" si="22"/>
        <v>7.2</v>
      </c>
      <c r="O74" s="24" t="str">
        <f t="shared" si="23"/>
        <v>-0,031249011330407-6,40435103010352i</v>
      </c>
      <c r="P74" s="24" t="str">
        <f t="shared" si="24"/>
        <v>-0,032847629384868-6,38746724456553i</v>
      </c>
      <c r="Q74" s="24" t="str">
        <f t="shared" si="25"/>
        <v>-0,370433579645281-6,38574493219356i</v>
      </c>
    </row>
    <row r="75" spans="4:17" x14ac:dyDescent="0.45">
      <c r="D75" s="27">
        <v>72</v>
      </c>
      <c r="E75" s="26">
        <f t="shared" si="26"/>
        <v>7.2</v>
      </c>
      <c r="F75" s="24" t="str">
        <f t="shared" si="27"/>
        <v>-0,370977830793559-6,38582635910461i</v>
      </c>
      <c r="G75" s="24" t="str">
        <f t="shared" si="20"/>
        <v>-1,04771235437124-6,31485634360118i</v>
      </c>
      <c r="H75" s="24" t="str">
        <f t="shared" si="28"/>
        <v>-6,78266029102919+0,370977830793559i</v>
      </c>
      <c r="I75" s="24" t="str">
        <f t="shared" si="29"/>
        <v>-6,77881790707068+0,710110845345018i</v>
      </c>
      <c r="J75" s="24" t="str">
        <f t="shared" si="30"/>
        <v>-6,76186125634311+0,709918726147093i</v>
      </c>
      <c r="K75" s="24" t="str">
        <f t="shared" si="31"/>
        <v>-6,74005279680418+1,04716395642787i</v>
      </c>
      <c r="L75" s="25"/>
      <c r="M75" s="24">
        <f t="shared" si="21"/>
        <v>7.25</v>
      </c>
      <c r="N75" s="24">
        <f t="shared" si="22"/>
        <v>7.3</v>
      </c>
      <c r="O75" s="24" t="str">
        <f t="shared" si="23"/>
        <v>-0,710110845345018-6,36727746756493i</v>
      </c>
      <c r="P75" s="24" t="str">
        <f t="shared" si="24"/>
        <v>-0,709918726147093-6,35032081683736i</v>
      </c>
      <c r="Q75" s="24" t="str">
        <f t="shared" si="25"/>
        <v>-1,04716395642787-6,3148344864899i</v>
      </c>
    </row>
    <row r="76" spans="4:17" x14ac:dyDescent="0.45">
      <c r="D76" s="27">
        <v>73</v>
      </c>
      <c r="E76" s="26">
        <f t="shared" si="26"/>
        <v>7.3000000000000007</v>
      </c>
      <c r="F76" s="24" t="str">
        <f t="shared" si="27"/>
        <v>-1,04771235437124-6,31485634360118i</v>
      </c>
      <c r="G76" s="24" t="str">
        <f t="shared" si="20"/>
        <v>-1,71660449182155-6,17654538710966i</v>
      </c>
      <c r="H76" s="24" t="str">
        <f t="shared" si="28"/>
        <v>-6,74007465391546+1,04771235437124i</v>
      </c>
      <c r="I76" s="24" t="str">
        <f t="shared" si="29"/>
        <v>-6,70030408267906+1,38471608706701i</v>
      </c>
      <c r="J76" s="24" t="str">
        <f t="shared" si="30"/>
        <v>-6,68345389604427+1,38272755850519i</v>
      </c>
      <c r="K76" s="24" t="str">
        <f t="shared" si="31"/>
        <v>-6,62593763565647+1,71605774397567i</v>
      </c>
      <c r="L76" s="25"/>
      <c r="M76" s="24">
        <f t="shared" si="21"/>
        <v>7.3500000000000005</v>
      </c>
      <c r="N76" s="24">
        <f t="shared" si="22"/>
        <v>7.4</v>
      </c>
      <c r="O76" s="24" t="str">
        <f t="shared" si="23"/>
        <v>-1,38471608706701-6,26247072588262i</v>
      </c>
      <c r="P76" s="24" t="str">
        <f t="shared" si="24"/>
        <v>-1,38272755850519-6,24562053924783i</v>
      </c>
      <c r="Q76" s="24" t="str">
        <f t="shared" si="25"/>
        <v>-1,71605774397567-6,17658358775066i</v>
      </c>
    </row>
    <row r="77" spans="4:17" x14ac:dyDescent="0.45">
      <c r="D77" s="27">
        <v>74</v>
      </c>
      <c r="E77" s="26">
        <f t="shared" si="26"/>
        <v>7.4</v>
      </c>
      <c r="F77" s="24" t="str">
        <f t="shared" si="27"/>
        <v>-1,71660449182155-6,17654538710966i</v>
      </c>
      <c r="G77" s="24" t="str">
        <f t="shared" si="20"/>
        <v>-2,37053398402381-5,97203449094868i</v>
      </c>
      <c r="H77" s="24" t="str">
        <f t="shared" si="28"/>
        <v>-6,62589943501547+1,71660449182155i</v>
      </c>
      <c r="I77" s="24" t="str">
        <f t="shared" si="29"/>
        <v>-6,55046675043307+2,04789946357232i</v>
      </c>
      <c r="J77" s="24" t="str">
        <f t="shared" si="30"/>
        <v>-6,53390200184553+2,0441278293432i</v>
      </c>
      <c r="K77" s="24" t="str">
        <f t="shared" si="31"/>
        <v>-6,44113259256271+2,3699946920061i</v>
      </c>
      <c r="L77" s="25"/>
      <c r="M77" s="24">
        <f t="shared" si="21"/>
        <v>7.45</v>
      </c>
      <c r="N77" s="24">
        <f t="shared" si="22"/>
        <v>7.5</v>
      </c>
      <c r="O77" s="24" t="str">
        <f t="shared" si="23"/>
        <v>-2,04789946357232-6,09071516251858i</v>
      </c>
      <c r="P77" s="24" t="str">
        <f t="shared" si="24"/>
        <v>-2,0441278293432-6,07415041393104i</v>
      </c>
      <c r="Q77" s="24" t="str">
        <f t="shared" si="25"/>
        <v>-2,3699946920061-5,97213260417534i</v>
      </c>
    </row>
    <row r="78" spans="4:17" x14ac:dyDescent="0.45">
      <c r="D78" s="27">
        <v>75</v>
      </c>
      <c r="E78" s="26">
        <f t="shared" si="26"/>
        <v>7.5</v>
      </c>
      <c r="F78" s="24" t="str">
        <f t="shared" si="27"/>
        <v>-2,37053398402381-5,97203449094868i</v>
      </c>
      <c r="G78" s="24" t="str">
        <f t="shared" si="20"/>
        <v>-3,00250820094758-5,70317092630811i</v>
      </c>
      <c r="H78" s="24" t="str">
        <f t="shared" si="28"/>
        <v>-6,44103447933605+2,37053398402381i</v>
      </c>
      <c r="I78" s="24" t="str">
        <f t="shared" si="29"/>
        <v>-6,33058392488725+2,69258570799061i</v>
      </c>
      <c r="J78" s="24" t="str">
        <f t="shared" si="30"/>
        <v>-6,31448133868891+2,68706318026817i</v>
      </c>
      <c r="K78" s="24" t="str">
        <f t="shared" si="31"/>
        <v>-6,1872880089376+3,0019821178927i</v>
      </c>
      <c r="L78" s="25"/>
      <c r="M78" s="24">
        <f t="shared" si="21"/>
        <v>7.55</v>
      </c>
      <c r="N78" s="24">
        <f t="shared" si="22"/>
        <v>7.6</v>
      </c>
      <c r="O78" s="24" t="str">
        <f t="shared" si="23"/>
        <v>-2,69258570799061-5,85350779174749i</v>
      </c>
      <c r="P78" s="24" t="str">
        <f t="shared" si="24"/>
        <v>-2,68706318026817-5,83740520554915i</v>
      </c>
      <c r="Q78" s="24" t="str">
        <f t="shared" si="25"/>
        <v>-3,0019821178927-5,70332817292186i</v>
      </c>
    </row>
    <row r="79" spans="4:17" x14ac:dyDescent="0.45">
      <c r="D79" s="27">
        <v>76</v>
      </c>
      <c r="E79" s="26">
        <f t="shared" si="26"/>
        <v>7.6000000000000005</v>
      </c>
      <c r="F79" s="24" t="str">
        <f t="shared" si="27"/>
        <v>-3,00250820094758-5,70317092630811i</v>
      </c>
      <c r="G79" s="24" t="str">
        <f t="shared" si="20"/>
        <v>-3,60573659369827-5,37249173662898i</v>
      </c>
      <c r="H79" s="24" t="str">
        <f t="shared" si="28"/>
        <v>-6,18713076232385+3,00250820094758i</v>
      </c>
      <c r="I79" s="24" t="str">
        <f t="shared" si="29"/>
        <v>-6,04267940760383+3,31186473906377i</v>
      </c>
      <c r="J79" s="24" t="str">
        <f t="shared" si="30"/>
        <v>-6,02721158069802+3,30464217132777i</v>
      </c>
      <c r="K79" s="24" t="str">
        <f t="shared" si="31"/>
        <v>-5,86679082611383+3,60522935901738i</v>
      </c>
      <c r="L79" s="25"/>
      <c r="M79" s="24">
        <f t="shared" si="21"/>
        <v>7.65</v>
      </c>
      <c r="N79" s="24">
        <f t="shared" si="22"/>
        <v>7.7</v>
      </c>
      <c r="O79" s="24" t="str">
        <f t="shared" si="23"/>
        <v>-3,31186473906377-5,55304551626073i</v>
      </c>
      <c r="P79" s="24" t="str">
        <f t="shared" si="24"/>
        <v>-3,30464217132777-5,53757768935492i</v>
      </c>
      <c r="Q79" s="24" t="str">
        <f t="shared" si="25"/>
        <v>-3,60522935901738-5,37270670917533i</v>
      </c>
    </row>
    <row r="80" spans="4:17" x14ac:dyDescent="0.45">
      <c r="D80" s="27">
        <v>77</v>
      </c>
      <c r="E80" s="26">
        <f t="shared" si="26"/>
        <v>7.7</v>
      </c>
      <c r="F80" s="24" t="str">
        <f t="shared" si="27"/>
        <v>-3,60573659369827-5,37249173662898i</v>
      </c>
      <c r="G80" s="24" t="str">
        <f t="shared" si="20"/>
        <v>-4,17370330017764-4,98319988058093i</v>
      </c>
      <c r="H80" s="24" t="str">
        <f t="shared" si="28"/>
        <v>-5,86657585356748+3,60573659369827i</v>
      </c>
      <c r="I80" s="24" t="str">
        <f t="shared" si="29"/>
        <v>-5,68950429649966+3,89906538637664i</v>
      </c>
      <c r="J80" s="24" t="str">
        <f t="shared" si="30"/>
        <v>-5,67483785686574+3,89021180852325i</v>
      </c>
      <c r="K80" s="24" t="str">
        <f t="shared" si="31"/>
        <v>-5,48274222846396+4,17322037938484i</v>
      </c>
      <c r="L80" s="25"/>
      <c r="M80" s="24">
        <f t="shared" si="21"/>
        <v>7.75</v>
      </c>
      <c r="N80" s="24">
        <f t="shared" si="22"/>
        <v>7.8</v>
      </c>
      <c r="O80" s="24" t="str">
        <f t="shared" si="23"/>
        <v>-3,89906538637664-5,19220490694407i</v>
      </c>
      <c r="P80" s="24" t="str">
        <f t="shared" si="24"/>
        <v>-3,89021180852325-5,17753846731015i</v>
      </c>
      <c r="Q80" s="24" t="str">
        <f t="shared" si="25"/>
        <v>-4,17322037938484-4,98347055577666i</v>
      </c>
    </row>
    <row r="81" spans="4:17" x14ac:dyDescent="0.45">
      <c r="D81" s="27">
        <v>78</v>
      </c>
      <c r="E81" s="26">
        <f t="shared" si="26"/>
        <v>7.8000000000000007</v>
      </c>
      <c r="F81" s="24" t="str">
        <f t="shared" si="27"/>
        <v>-4,17370330017764-4,98319988058093i</v>
      </c>
      <c r="G81" s="24" t="str">
        <f t="shared" si="20"/>
        <v>-4,7002371313797-4,53913323909844i</v>
      </c>
      <c r="H81" s="24" t="str">
        <f t="shared" si="28"/>
        <v>-5,48247155326823+4,17370330017764i</v>
      </c>
      <c r="I81" s="24" t="str">
        <f t="shared" si="29"/>
        <v>-5,27451075222501+4,44782687784105i</v>
      </c>
      <c r="J81" s="24" t="str">
        <f t="shared" si="30"/>
        <v>-5,26080457334184+4,43742883778889i</v>
      </c>
      <c r="K81" s="24" t="str">
        <f t="shared" si="31"/>
        <v>-5,03892766772193+4,69978375751182i</v>
      </c>
      <c r="L81" s="25"/>
      <c r="M81" s="24">
        <f t="shared" si="21"/>
        <v>7.8500000000000005</v>
      </c>
      <c r="N81" s="24">
        <f t="shared" si="22"/>
        <v>7.9</v>
      </c>
      <c r="O81" s="24" t="str">
        <f t="shared" si="23"/>
        <v>-4,44782687784105-4,77451471557205i</v>
      </c>
      <c r="P81" s="24" t="str">
        <f t="shared" si="24"/>
        <v>-4,43742883778889-4,76080853668888i</v>
      </c>
      <c r="Q81" s="24" t="str">
        <f t="shared" si="25"/>
        <v>-4,69978375751182-4,53945699680204i</v>
      </c>
    </row>
    <row r="82" spans="4:17" x14ac:dyDescent="0.45">
      <c r="D82" s="27">
        <v>79</v>
      </c>
      <c r="E82" s="26">
        <f t="shared" si="26"/>
        <v>7.9</v>
      </c>
      <c r="F82" s="24" t="str">
        <f t="shared" si="27"/>
        <v>-4,7002371313797-4,53913323909844i</v>
      </c>
      <c r="G82" s="24" t="str">
        <f t="shared" si="20"/>
        <v>-5,17957819026333-4,0447267860562i</v>
      </c>
      <c r="H82" s="24" t="str">
        <f t="shared" si="28"/>
        <v>-5,03860391001833+4,7002371313797i</v>
      </c>
      <c r="I82" s="24" t="str">
        <f t="shared" si="29"/>
        <v>-4,80181827115827+4,95216732688062i</v>
      </c>
      <c r="J82" s="24" t="str">
        <f t="shared" si="30"/>
        <v>-4,78922176138322+4,94032804493761i</v>
      </c>
      <c r="K82" s="24" t="str">
        <f t="shared" si="31"/>
        <v>-4,53977955791637+5,17915930751802i</v>
      </c>
      <c r="L82" s="25"/>
      <c r="M82" s="24">
        <f t="shared" si="21"/>
        <v>7.95</v>
      </c>
      <c r="N82" s="24">
        <f t="shared" si="22"/>
        <v>8</v>
      </c>
      <c r="O82" s="24" t="str">
        <f t="shared" si="23"/>
        <v>-4,95216732688062-4,30412138252946i</v>
      </c>
      <c r="P82" s="24" t="str">
        <f t="shared" si="24"/>
        <v>-4,94032804493761-4,29152487275441i</v>
      </c>
      <c r="Q82" s="24" t="str">
        <f t="shared" si="25"/>
        <v>-5,17915930751802-4,04510043460468i</v>
      </c>
    </row>
    <row r="83" spans="4:17" x14ac:dyDescent="0.45">
      <c r="D83" s="27">
        <v>80</v>
      </c>
      <c r="E83" s="26">
        <f t="shared" si="26"/>
        <v>8</v>
      </c>
      <c r="F83" s="24" t="str">
        <f t="shared" si="27"/>
        <v>-5,17957819026333-4,0447267860562i</v>
      </c>
      <c r="G83" s="24" t="str">
        <f t="shared" si="20"/>
        <v>-5,60644040802524-3,50496829539103i</v>
      </c>
      <c r="H83" s="24" t="str">
        <f t="shared" si="28"/>
        <v>-4,53940590936789+5,17957819026333i</v>
      </c>
      <c r="I83" s="24" t="str">
        <f t="shared" si="29"/>
        <v>-4,27617279435323+5,40654848573172i</v>
      </c>
      <c r="J83" s="24" t="str">
        <f t="shared" si="30"/>
        <v>-4,26482427957981+5,39338682998099i</v>
      </c>
      <c r="K83" s="24" t="str">
        <f t="shared" si="31"/>
        <v>-3,99033300848064+5,60606061822131i</v>
      </c>
      <c r="L83" s="25"/>
      <c r="M83" s="24">
        <f t="shared" si="21"/>
        <v>8.0500000000000007</v>
      </c>
      <c r="N83" s="24">
        <f t="shared" si="22"/>
        <v>8.1</v>
      </c>
      <c r="O83" s="24" t="str">
        <f t="shared" si="23"/>
        <v>-5,40654848573172-3,78574787654303i</v>
      </c>
      <c r="P83" s="24" t="str">
        <f t="shared" si="24"/>
        <v>-5,39338682998099-3,77439936176961i</v>
      </c>
      <c r="Q83" s="24" t="str">
        <f t="shared" si="25"/>
        <v>-5,60606061822131-3,5053881030581i</v>
      </c>
    </row>
    <row r="84" spans="4:17" x14ac:dyDescent="0.45">
      <c r="D84" s="27">
        <v>81</v>
      </c>
      <c r="E84" s="26">
        <f t="shared" si="26"/>
        <v>8.1</v>
      </c>
      <c r="F84" s="24" t="str">
        <f t="shared" si="27"/>
        <v>-5,60644040802524-3,50496829539103i</v>
      </c>
      <c r="G84" s="24" t="str">
        <f t="shared" si="20"/>
        <v>-5,97606932312038-2,9253480270311i</v>
      </c>
      <c r="H84" s="24" t="str">
        <f t="shared" si="28"/>
        <v>-3,98991320081357+5,60644040802524i</v>
      </c>
      <c r="I84" s="24" t="str">
        <f t="shared" si="29"/>
        <v>-3,70289905831552+5,80593606806592i</v>
      </c>
      <c r="J84" s="24" t="str">
        <f t="shared" si="30"/>
        <v>-3,69292427531348+5,79158536094102i</v>
      </c>
      <c r="K84" s="24" t="str">
        <f t="shared" si="31"/>
        <v>-3,39617503763682+5,97573283555659i</v>
      </c>
      <c r="L84" s="25"/>
      <c r="M84" s="24">
        <f t="shared" si="21"/>
        <v>8.15</v>
      </c>
      <c r="N84" s="24">
        <f t="shared" si="22"/>
        <v>8.1999999999999993</v>
      </c>
      <c r="O84" s="24" t="str">
        <f t="shared" si="23"/>
        <v>-5,80593606806592-3,22464627498977i</v>
      </c>
      <c r="P84" s="24" t="str">
        <f t="shared" si="24"/>
        <v>-5,79158536094102-3,21467149198773i</v>
      </c>
      <c r="Q84" s="24" t="str">
        <f t="shared" si="25"/>
        <v>-5,97573283555659-2,92580975929693i</v>
      </c>
    </row>
    <row r="85" spans="4:17" x14ac:dyDescent="0.45">
      <c r="D85" s="27">
        <v>82</v>
      </c>
      <c r="E85" s="26">
        <f t="shared" si="26"/>
        <v>8.2000000000000011</v>
      </c>
      <c r="F85" s="24" t="str">
        <f t="shared" si="27"/>
        <v>-5,97606932312038-2,9253480270311i</v>
      </c>
      <c r="G85" s="24" t="str">
        <f t="shared" si="20"/>
        <v>-6,28429447613855-2,3118028991289i</v>
      </c>
      <c r="H85" s="24" t="str">
        <f t="shared" si="28"/>
        <v>-3,39571330537099+5,97606932312038i</v>
      </c>
      <c r="I85" s="24" t="str">
        <f t="shared" si="29"/>
        <v>-3,08784666599475+6,14585498838893i</v>
      </c>
      <c r="J85" s="24" t="str">
        <f t="shared" si="30"/>
        <v>-3,07935738273132+6,13046165642012i</v>
      </c>
      <c r="K85" s="24" t="str">
        <f t="shared" si="31"/>
        <v>-2,76338777826724+6,28400506139351i</v>
      </c>
      <c r="L85" s="25"/>
      <c r="M85" s="24">
        <f t="shared" si="21"/>
        <v>8.2500000000000018</v>
      </c>
      <c r="N85" s="24">
        <f t="shared" si="22"/>
        <v>8.3000000000000007</v>
      </c>
      <c r="O85" s="24" t="str">
        <f t="shared" si="23"/>
        <v>-6,14585498838893-2,62654456087508i</v>
      </c>
      <c r="P85" s="24" t="str">
        <f t="shared" si="24"/>
        <v>-6,13046165642012-2,61805527761165i</v>
      </c>
      <c r="Q85" s="24" t="str">
        <f t="shared" si="25"/>
        <v>-6,28400506139351-2,31230186138909i</v>
      </c>
    </row>
    <row r="86" spans="4:17" x14ac:dyDescent="0.45">
      <c r="D86" s="27">
        <v>83</v>
      </c>
      <c r="E86" s="26">
        <f t="shared" si="26"/>
        <v>8.3000000000000007</v>
      </c>
      <c r="F86" s="24" t="str">
        <f t="shared" si="27"/>
        <v>-6,28429447613855-2,3118028991289i</v>
      </c>
      <c r="G86" s="24" t="str">
        <f t="shared" si="20"/>
        <v>-6,52757584816714-1,67065571411148i</v>
      </c>
      <c r="H86" s="24" t="str">
        <f t="shared" si="28"/>
        <v>-2,76288881600705+6,28429447613855i</v>
      </c>
      <c r="I86" s="24" t="str">
        <f t="shared" si="29"/>
        <v>-2,4373304240874+6,4224389169389i</v>
      </c>
      <c r="J86" s="24" t="str">
        <f t="shared" si="30"/>
        <v>-2,43042320204738+6,40616099734292i</v>
      </c>
      <c r="K86" s="24" t="str">
        <f t="shared" si="31"/>
        <v>-2,09848625343875+6,52733679634329i</v>
      </c>
      <c r="L86" s="25"/>
      <c r="M86" s="24">
        <f t="shared" si="21"/>
        <v>8.3500000000000014</v>
      </c>
      <c r="N86" s="24">
        <f t="shared" si="22"/>
        <v>8.4</v>
      </c>
      <c r="O86" s="24" t="str">
        <f t="shared" si="23"/>
        <v>-6,4224389169389-1,99758817532197i</v>
      </c>
      <c r="P86" s="24" t="str">
        <f t="shared" si="24"/>
        <v>-6,40616099734292-1,99068095328195i</v>
      </c>
      <c r="Q86" s="24" t="str">
        <f t="shared" si="25"/>
        <v>-6,52733679634329-1,67118679939461i</v>
      </c>
    </row>
    <row r="87" spans="4:17" x14ac:dyDescent="0.45">
      <c r="D87" s="27">
        <v>84</v>
      </c>
      <c r="E87" s="26">
        <f t="shared" si="26"/>
        <v>8.4</v>
      </c>
      <c r="F87" s="24" t="str">
        <f t="shared" si="27"/>
        <v>-6,52757584816714-1,67065571411148i</v>
      </c>
      <c r="G87" s="24" t="str">
        <f t="shared" si="20"/>
        <v>-6,70304383099786-1,00855006031129i</v>
      </c>
      <c r="H87" s="24" t="str">
        <f t="shared" si="28"/>
        <v>-2,09795516815562+6,52757584816714i</v>
      </c>
      <c r="I87" s="24" t="str">
        <f t="shared" si="29"/>
        <v>-1,75806555492411+6,63247360657492i</v>
      </c>
      <c r="J87" s="24" t="str">
        <f t="shared" si="30"/>
        <v>-1,75282066700372+6,61547912591335i</v>
      </c>
      <c r="K87" s="24" t="str">
        <f t="shared" si="31"/>
        <v>-1,40835135783189+6,70285791486751i</v>
      </c>
      <c r="L87" s="25"/>
      <c r="M87" s="24">
        <f t="shared" si="21"/>
        <v>8.4500000000000011</v>
      </c>
      <c r="N87" s="24">
        <f t="shared" si="22"/>
        <v>8.5</v>
      </c>
      <c r="O87" s="24" t="str">
        <f t="shared" si="23"/>
        <v>-6,63247360657492-1,34427692170312i</v>
      </c>
      <c r="P87" s="24" t="str">
        <f t="shared" si="24"/>
        <v>-6,61547912591335-1,33903203378273i</v>
      </c>
      <c r="Q87" s="24" t="str">
        <f t="shared" si="25"/>
        <v>-6,70285791486751-1,00910780152014i</v>
      </c>
    </row>
    <row r="88" spans="4:17" x14ac:dyDescent="0.45">
      <c r="D88" s="27">
        <v>85</v>
      </c>
      <c r="E88" s="26">
        <f t="shared" si="26"/>
        <v>8.5</v>
      </c>
      <c r="F88" s="24" t="str">
        <f t="shared" si="27"/>
        <v>-6,70304383099786-1,00855006031129i</v>
      </c>
      <c r="G88" s="24" t="str">
        <f t="shared" si="20"/>
        <v>-6,80853228385174-0,332381558833218i</v>
      </c>
      <c r="H88" s="24" t="str">
        <f t="shared" si="28"/>
        <v>-1,40779361662304+6,70304383099786i</v>
      </c>
      <c r="I88" s="24" t="str">
        <f t="shared" si="29"/>
        <v>-1,05709844719514+6,77343351182901i</v>
      </c>
      <c r="J88" s="24" t="str">
        <f t="shared" si="30"/>
        <v>-1,05357896315358+6,75589875335762i</v>
      </c>
      <c r="K88" s="24" t="str">
        <f t="shared" si="31"/>
        <v>-0,700158733912585+6,80840172731322i</v>
      </c>
      <c r="L88" s="25"/>
      <c r="M88" s="24">
        <f t="shared" si="21"/>
        <v>8.5500000000000007</v>
      </c>
      <c r="N88" s="24">
        <f t="shared" si="22"/>
        <v>8.6</v>
      </c>
      <c r="O88" s="24" t="str">
        <f t="shared" si="23"/>
        <v>-6,77343351182901-0,673397868761397i</v>
      </c>
      <c r="P88" s="24" t="str">
        <f t="shared" si="24"/>
        <v>-6,75589875335762-0,669878384719839i</v>
      </c>
      <c r="Q88" s="24" t="str">
        <f t="shared" si="25"/>
        <v>-6,80840172731322-0,332960184975528i</v>
      </c>
    </row>
    <row r="89" spans="4:17" x14ac:dyDescent="0.45">
      <c r="D89" s="27">
        <v>86</v>
      </c>
      <c r="E89" s="26">
        <f t="shared" si="26"/>
        <v>8.6</v>
      </c>
      <c r="F89" s="24" t="str">
        <f t="shared" si="27"/>
        <v>-6,80853228385174-0,332381558833218i</v>
      </c>
      <c r="G89" s="24" t="str">
        <f t="shared" si="20"/>
        <v>-6,84260430252163+0,350773833677597i</v>
      </c>
      <c r="H89" s="24" t="str">
        <f t="shared" si="28"/>
        <v>-0,699580107770275+6,80853228385174i</v>
      </c>
      <c r="I89" s="24" t="str">
        <f t="shared" si="29"/>
        <v>-0,341733658941965+6,84351128924025i</v>
      </c>
      <c r="J89" s="24" t="str">
        <f t="shared" si="30"/>
        <v>-0,339984708672539+6,82561896679884i</v>
      </c>
      <c r="K89" s="24" t="str">
        <f t="shared" si="31"/>
        <v>0,0186957228055744+6,84253075471899i</v>
      </c>
      <c r="L89" s="25"/>
      <c r="M89" s="24">
        <f t="shared" si="21"/>
        <v>8.65</v>
      </c>
      <c r="N89" s="24">
        <f t="shared" si="22"/>
        <v>8.6999999999999993</v>
      </c>
      <c r="O89" s="24" t="str">
        <f t="shared" si="23"/>
        <v>-6,84351128924025+0,008045055359369i</v>
      </c>
      <c r="P89" s="24" t="str">
        <f t="shared" si="24"/>
        <v>-6,82561896679884+0,00979400562879501i</v>
      </c>
      <c r="Q89" s="24" t="str">
        <f t="shared" si="25"/>
        <v>-6,84253075471899+0,350180337846666i</v>
      </c>
    </row>
    <row r="90" spans="4:17" x14ac:dyDescent="0.45">
      <c r="D90" s="27">
        <v>87</v>
      </c>
      <c r="E90" s="26">
        <f t="shared" si="26"/>
        <v>8.7000000000000011</v>
      </c>
      <c r="F90" s="24" t="str">
        <f t="shared" si="27"/>
        <v>-6,84260430252163+0,350773833677597i</v>
      </c>
      <c r="G90" s="24" t="str">
        <f t="shared" si="20"/>
        <v>-6,80457040223206+1,03373372203069i</v>
      </c>
      <c r="H90" s="24" t="str">
        <f t="shared" si="28"/>
        <v>0,019289218636506+6,84260430252163i</v>
      </c>
      <c r="I90" s="24" t="str">
        <f t="shared" si="29"/>
        <v>0,380542071926582+6,8416398415898i</v>
      </c>
      <c r="J90" s="24" t="str">
        <f t="shared" si="30"/>
        <v>0,380493848879992+6,8235771989253i</v>
      </c>
      <c r="K90" s="24" t="str">
        <f t="shared" si="31"/>
        <v>0,740672957124249+6,80455491763363i</v>
      </c>
      <c r="L90" s="25"/>
      <c r="M90" s="24">
        <f t="shared" si="21"/>
        <v>8.7500000000000018</v>
      </c>
      <c r="N90" s="24">
        <f t="shared" si="22"/>
        <v>8.8000000000000007</v>
      </c>
      <c r="O90" s="24" t="str">
        <f t="shared" si="23"/>
        <v>-6,8416398415898+0,692904048803678i</v>
      </c>
      <c r="P90" s="24" t="str">
        <f t="shared" si="24"/>
        <v>-6,8235771989253+0,692855825757087i</v>
      </c>
      <c r="Q90" s="24" t="str">
        <f t="shared" si="25"/>
        <v>-6,80455491763363+1,03313155357013i</v>
      </c>
    </row>
    <row r="91" spans="4:17" x14ac:dyDescent="0.45">
      <c r="D91" s="27">
        <v>88</v>
      </c>
      <c r="E91" s="26">
        <f t="shared" si="26"/>
        <v>8.8000000000000007</v>
      </c>
      <c r="F91" s="24" t="str">
        <f t="shared" si="27"/>
        <v>-6,80457040223206+1,03373372203069i</v>
      </c>
      <c r="G91" s="24" t="str">
        <f t="shared" si="20"/>
        <v>-6,69449889431344+1,70928459895658i</v>
      </c>
      <c r="H91" s="24" t="str">
        <f t="shared" si="28"/>
        <v>0,741275125584809+6,80457040223206i</v>
      </c>
      <c r="I91" s="24" t="str">
        <f t="shared" si="29"/>
        <v>1,10213802030925+6,76750664595282i</v>
      </c>
      <c r="J91" s="24" t="str">
        <f t="shared" si="30"/>
        <v>1,10028483249529+6,7494635012166i</v>
      </c>
      <c r="K91" s="24" t="str">
        <f t="shared" si="31"/>
        <v>1,45816964392341+6,69454191898253i</v>
      </c>
      <c r="L91" s="25"/>
      <c r="M91" s="24">
        <f t="shared" si="21"/>
        <v>8.8500000000000014</v>
      </c>
      <c r="N91" s="24">
        <f t="shared" si="22"/>
        <v>8.9</v>
      </c>
      <c r="O91" s="24" t="str">
        <f t="shared" si="23"/>
        <v>-6,76750664595282+1,37396224214229i</v>
      </c>
      <c r="P91" s="24" t="str">
        <f t="shared" si="24"/>
        <v>-6,7494635012166+1,37210905432833i</v>
      </c>
      <c r="Q91" s="24" t="str">
        <f t="shared" si="25"/>
        <v>-6,69454191898253+1,70868007215235i</v>
      </c>
    </row>
    <row r="92" spans="4:17" x14ac:dyDescent="0.45">
      <c r="D92" s="27">
        <v>89</v>
      </c>
      <c r="E92" s="26">
        <f t="shared" si="26"/>
        <v>8.9</v>
      </c>
      <c r="F92" s="24" t="str">
        <f t="shared" si="27"/>
        <v>-6,69449889431344+1,70928459895658i</v>
      </c>
      <c r="G92" s="24" t="str">
        <f t="shared" si="20"/>
        <v>-6,51321831816367+2,37025781281357i</v>
      </c>
      <c r="H92" s="24" t="str">
        <f t="shared" si="28"/>
        <v>1,45877417072764+6,69449889431344i</v>
      </c>
      <c r="I92" s="24" t="str">
        <f t="shared" si="29"/>
        <v>1,81543905465467+6,62156018577706i</v>
      </c>
      <c r="J92" s="24" t="str">
        <f t="shared" si="30"/>
        <v>1,81179211922785+6,60372694158071i</v>
      </c>
      <c r="K92" s="24" t="str">
        <f t="shared" si="31"/>
        <v>2,16359805049377+6,51331968239065i</v>
      </c>
      <c r="L92" s="25"/>
      <c r="M92" s="24">
        <f t="shared" si="21"/>
        <v>8.9500000000000011</v>
      </c>
      <c r="N92" s="24">
        <f t="shared" si="22"/>
        <v>9</v>
      </c>
      <c r="O92" s="24" t="str">
        <f t="shared" si="23"/>
        <v>-6,62156018577706+2,04400954367225i</v>
      </c>
      <c r="P92" s="24" t="str">
        <f t="shared" si="24"/>
        <v>-6,60372694158071+2,04036260824543i</v>
      </c>
      <c r="Q92" s="24" t="str">
        <f t="shared" si="25"/>
        <v>-6,51331968239065+2,36965729311465i</v>
      </c>
    </row>
    <row r="93" spans="4:17" x14ac:dyDescent="0.45">
      <c r="D93" s="27">
        <v>90</v>
      </c>
      <c r="E93" s="26">
        <f t="shared" si="26"/>
        <v>9</v>
      </c>
      <c r="F93" s="24" t="str">
        <f t="shared" si="27"/>
        <v>-6,51321831816367+2,37025781281357i</v>
      </c>
      <c r="G93" s="24" t="str">
        <f t="shared" si="20"/>
        <v>-6,26231187307879+3,00960537859602i</v>
      </c>
      <c r="H93" s="24" t="str">
        <f t="shared" si="28"/>
        <v>2,16419857019269+6,51321831816367i</v>
      </c>
      <c r="I93" s="24" t="str">
        <f t="shared" si="29"/>
        <v>2,51288577329054+6,40500838965404i</v>
      </c>
      <c r="J93" s="24" t="str">
        <f t="shared" si="30"/>
        <v>2,50747527686506+6,38757402949914i</v>
      </c>
      <c r="K93" s="24" t="str">
        <f t="shared" si="31"/>
        <v>2,8494660345888+6,26247079047716i</v>
      </c>
      <c r="L93" s="25"/>
      <c r="M93" s="24">
        <f t="shared" si="21"/>
        <v>9.0500000000000007</v>
      </c>
      <c r="N93" s="24">
        <f t="shared" si="22"/>
        <v>9.1</v>
      </c>
      <c r="O93" s="24" t="str">
        <f t="shared" si="23"/>
        <v>-6,40500838965404+2,69591872872175i</v>
      </c>
      <c r="P93" s="24" t="str">
        <f t="shared" si="24"/>
        <v>-6,38757402949914+2,69050823229627i</v>
      </c>
      <c r="Q93" s="24" t="str">
        <f t="shared" si="25"/>
        <v>-6,26247079047716+3,00901521576348i</v>
      </c>
    </row>
    <row r="94" spans="4:17" x14ac:dyDescent="0.45">
      <c r="D94" s="27">
        <v>91</v>
      </c>
      <c r="E94" s="26">
        <f t="shared" si="26"/>
        <v>9.1</v>
      </c>
      <c r="F94" s="24" t="str">
        <f t="shared" si="27"/>
        <v>-6,26231187307879+3,00960537859602i</v>
      </c>
      <c r="G94" s="24" t="str">
        <f t="shared" si="20"/>
        <v>-5,94410387850738+3,62047483295837i</v>
      </c>
      <c r="H94" s="24" t="str">
        <f t="shared" si="28"/>
        <v>2,85005619742134+6,26231187307879i</v>
      </c>
      <c r="I94" s="24" t="str">
        <f t="shared" si="29"/>
        <v>3,18705435519314+6,11980906320772i</v>
      </c>
      <c r="J94" s="24" t="str">
        <f t="shared" si="30"/>
        <v>3,17992921469959+6,10295915531913i</v>
      </c>
      <c r="K94" s="24" t="str">
        <f t="shared" si="31"/>
        <v>3,50845633707781+5,94431895160883i</v>
      </c>
      <c r="L94" s="25"/>
      <c r="M94" s="24">
        <f t="shared" si="21"/>
        <v>9.15</v>
      </c>
      <c r="N94" s="24">
        <f t="shared" si="22"/>
        <v>9.1999999999999993</v>
      </c>
      <c r="O94" s="24" t="str">
        <f t="shared" si="23"/>
        <v>-6,11980906320772+3,32272097224996i</v>
      </c>
      <c r="P94" s="24" t="str">
        <f t="shared" si="24"/>
        <v>-6,10295915531913+3,31559583175641i</v>
      </c>
      <c r="Q94" s="24" t="str">
        <f t="shared" si="25"/>
        <v>-5,94431895160883+3,61990129412793i</v>
      </c>
    </row>
    <row r="95" spans="4:17" x14ac:dyDescent="0.45">
      <c r="D95" s="27">
        <v>92</v>
      </c>
      <c r="E95" s="26">
        <f t="shared" si="26"/>
        <v>9.2000000000000011</v>
      </c>
      <c r="F95" s="24" t="str">
        <f t="shared" si="27"/>
        <v>-5,94410387850738+3,62047483295837i</v>
      </c>
      <c r="G95" s="24" t="str">
        <f t="shared" si="20"/>
        <v>-5,56163837524176+4,19628234102643i</v>
      </c>
      <c r="H95" s="24" t="str">
        <f t="shared" si="28"/>
        <v>3,50902987590825+5,94410387850738i</v>
      </c>
      <c r="I95" s="24" t="str">
        <f t="shared" si="29"/>
        <v>3,83073528419352+5,76865238471197i</v>
      </c>
      <c r="J95" s="24" t="str">
        <f t="shared" si="30"/>
        <v>3,82196270950375+5,7525671142977i</v>
      </c>
      <c r="K95" s="24" t="str">
        <f t="shared" si="31"/>
        <v>4,13350433263461+5,56190760755701i</v>
      </c>
      <c r="L95" s="25"/>
      <c r="M95" s="24">
        <f t="shared" si="21"/>
        <v>9.2500000000000018</v>
      </c>
      <c r="N95" s="24">
        <f t="shared" si="22"/>
        <v>9.3000000000000007</v>
      </c>
      <c r="O95" s="24" t="str">
        <f t="shared" si="23"/>
        <v>-5,76865238471197+3,91768002688374i</v>
      </c>
      <c r="P95" s="24" t="str">
        <f t="shared" si="24"/>
        <v>-5,7525671142977+3,90890745219397i</v>
      </c>
      <c r="Q95" s="24" t="str">
        <f t="shared" si="25"/>
        <v>-5,56190760755701+4,19573154438814i</v>
      </c>
    </row>
    <row r="96" spans="4:17" x14ac:dyDescent="0.45">
      <c r="D96" s="27">
        <v>93</v>
      </c>
      <c r="E96" s="26">
        <f t="shared" si="26"/>
        <v>9.3000000000000007</v>
      </c>
      <c r="F96" s="24" t="str">
        <f t="shared" si="27"/>
        <v>-5,56163837524176+4,19628234102643i</v>
      </c>
      <c r="G96" s="24" t="str">
        <f t="shared" si="20"/>
        <v>-5,11865006312089+4,73078327818288i</v>
      </c>
      <c r="H96" s="24" t="str">
        <f t="shared" si="28"/>
        <v>4,1340551292729+5,56163837524176i</v>
      </c>
      <c r="I96" s="24" t="str">
        <f t="shared" si="29"/>
        <v>4,43701011459375+5,35493561877811i</v>
      </c>
      <c r="J96" s="24" t="str">
        <f t="shared" si="30"/>
        <v>4,42667497677057+5,33978786951207i</v>
      </c>
      <c r="K96" s="24" t="str">
        <f t="shared" si="31"/>
        <v>4,71787341525096+5,1189708775647i</v>
      </c>
      <c r="L96" s="25"/>
      <c r="M96" s="24">
        <f t="shared" si="21"/>
        <v>9.3500000000000014</v>
      </c>
      <c r="N96" s="24">
        <f t="shared" si="22"/>
        <v>9.4</v>
      </c>
      <c r="O96" s="24" t="str">
        <f t="shared" si="23"/>
        <v>-5,35493561877811+4,47436425978852i</v>
      </c>
      <c r="P96" s="24" t="str">
        <f t="shared" si="24"/>
        <v>-5,33978786951207+4,46402912196534i</v>
      </c>
      <c r="Q96" s="24" t="str">
        <f t="shared" si="25"/>
        <v>-5,1189708775647+4,73026112797764i</v>
      </c>
    </row>
    <row r="97" spans="4:17" x14ac:dyDescent="0.45">
      <c r="D97" s="27">
        <v>94</v>
      </c>
      <c r="E97" s="26">
        <f t="shared" si="26"/>
        <v>9.4</v>
      </c>
      <c r="F97" s="24" t="str">
        <f t="shared" si="27"/>
        <v>-5,11865006312089+4,73078327818288i</v>
      </c>
      <c r="G97" s="24" t="str">
        <f t="shared" si="20"/>
        <v>-4,61952785210959+5,21813953365436i</v>
      </c>
      <c r="H97" s="24" t="str">
        <f t="shared" si="28"/>
        <v>4,7183955654562+5,11865006312089i</v>
      </c>
      <c r="I97" s="24" t="str">
        <f t="shared" si="29"/>
        <v>4,99932546391076+4,88273028484808i</v>
      </c>
      <c r="J97" s="24" t="str">
        <f t="shared" si="30"/>
        <v>4,98752947499711+4,86868378992535i</v>
      </c>
      <c r="K97" s="24" t="str">
        <f t="shared" si="31"/>
        <v>5,25522721740631+4,61989711562118i</v>
      </c>
      <c r="L97" s="25"/>
      <c r="M97" s="24">
        <f t="shared" si="21"/>
        <v>9.4500000000000011</v>
      </c>
      <c r="N97" s="24">
        <f t="shared" si="22"/>
        <v>9.5</v>
      </c>
      <c r="O97" s="24" t="str">
        <f t="shared" si="23"/>
        <v>-4,88273028484808+4,98671578133893i</v>
      </c>
      <c r="P97" s="24" t="str">
        <f t="shared" si="24"/>
        <v>-4,86868378992535+4,97491979242528i</v>
      </c>
      <c r="Q97" s="24" t="str">
        <f t="shared" si="25"/>
        <v>-4,61989711562118+5,21765165717541i</v>
      </c>
    </row>
    <row r="98" spans="4:17" x14ac:dyDescent="0.45">
      <c r="D98" s="27">
        <v>95</v>
      </c>
      <c r="E98" s="26">
        <f t="shared" si="26"/>
        <v>9.5</v>
      </c>
      <c r="F98" s="24" t="str">
        <f t="shared" si="27"/>
        <v>-4,61952785210959+5,21813953365436i</v>
      </c>
      <c r="G98" s="24" t="str">
        <f t="shared" si="20"/>
        <v>-4,06927138227723+5,65298281437234i</v>
      </c>
      <c r="H98" s="24" t="str">
        <f t="shared" si="28"/>
        <v>5,25571509388526+4,61952785210959i</v>
      </c>
      <c r="I98" s="24" t="str">
        <f t="shared" si="29"/>
        <v>5,51156344481822+4,35674209741533i</v>
      </c>
      <c r="J98" s="24" t="str">
        <f t="shared" si="30"/>
        <v>5,49842415708351+4,34394967986868i</v>
      </c>
      <c r="K98" s="24" t="str">
        <f t="shared" si="31"/>
        <v>5,73969789225272+4,06968543640124i</v>
      </c>
      <c r="L98" s="25"/>
      <c r="M98" s="24">
        <f t="shared" si="21"/>
        <v>9.5500000000000007</v>
      </c>
      <c r="N98" s="24">
        <f t="shared" si="22"/>
        <v>9.6</v>
      </c>
      <c r="O98" s="24" t="str">
        <f t="shared" si="23"/>
        <v>-4,35674209741533+5,44911592625984i</v>
      </c>
      <c r="P98" s="24" t="str">
        <f t="shared" si="24"/>
        <v>-4,34394967986868+5,43597663852513i</v>
      </c>
      <c r="Q98" s="24" t="str">
        <f t="shared" si="25"/>
        <v>-4,06968543640124+5,65253450164123i</v>
      </c>
    </row>
    <row r="99" spans="4:17" x14ac:dyDescent="0.45">
      <c r="D99" s="27">
        <v>96</v>
      </c>
      <c r="E99" s="26">
        <f t="shared" si="26"/>
        <v>9.6000000000000014</v>
      </c>
      <c r="F99" s="24" t="str">
        <f t="shared" si="27"/>
        <v>-4,06927138227723+5,65298281437234i</v>
      </c>
      <c r="G99" s="24" t="str">
        <f t="shared" ref="G99:G103" si="32">IMSUM(F99,IMPRODUCT((IMSUM(H99,IMPRODUCT(2,I99),IMPRODUCT(2,J99),K99)),$B$4/6))</f>
        <v>-3,47344094339187+6,03047326692405i</v>
      </c>
      <c r="H99" s="24" t="str">
        <f t="shared" si="28"/>
        <v>5,74014620498383+4,06927138227723i</v>
      </c>
      <c r="I99" s="24" t="str">
        <f t="shared" si="29"/>
        <v>5,96810778306809+3,78226407202804i</v>
      </c>
      <c r="J99" s="24" t="str">
        <f t="shared" si="30"/>
        <v>5,95375741755563+3,77086599312383i</v>
      </c>
      <c r="K99" s="24" t="str">
        <f t="shared" si="31"/>
        <v>6,16594972689019+3,47389564052167i</v>
      </c>
      <c r="L99" s="25"/>
      <c r="M99" s="24">
        <f t="shared" si="21"/>
        <v>9.6500000000000021</v>
      </c>
      <c r="N99" s="24">
        <f t="shared" si="22"/>
        <v>9.7000000000000011</v>
      </c>
      <c r="O99" s="24" t="str">
        <f t="shared" si="23"/>
        <v>-3,78226407202804+5,8564463834862i</v>
      </c>
      <c r="P99" s="24" t="str">
        <f t="shared" si="24"/>
        <v>-3,77086599312383+5,84209601797374i</v>
      </c>
      <c r="Q99" s="24" t="str">
        <f t="shared" si="25"/>
        <v>-3,47389564052167+6,03006941368472i</v>
      </c>
    </row>
    <row r="100" spans="4:17" x14ac:dyDescent="0.45">
      <c r="D100" s="27">
        <v>97</v>
      </c>
      <c r="E100" s="26">
        <f t="shared" ref="E100:E103" si="33">D100*$B$4+$B$3</f>
        <v>9.7000000000000011</v>
      </c>
      <c r="F100" s="24" t="str">
        <f t="shared" si="27"/>
        <v>-3,47344094339187+6,03047326692405i</v>
      </c>
      <c r="G100" s="24" t="str">
        <f t="shared" si="32"/>
        <v>-2,83810129577216+6,34635278206659i</v>
      </c>
      <c r="H100" s="24" t="str">
        <f t="shared" si="28"/>
        <v>6,16635358012952+3,47344094339187i</v>
      </c>
      <c r="I100" s="24" t="str">
        <f t="shared" si="29"/>
        <v>6,36390491090478+3,16512326438539i</v>
      </c>
      <c r="J100" s="24" t="str">
        <f t="shared" si="30"/>
        <v>6,34848902695446+3,15524569784663i</v>
      </c>
      <c r="K100" s="24" t="str">
        <f t="shared" si="31"/>
        <v>6,52923740133467+2,83859204069642i</v>
      </c>
      <c r="L100" s="25"/>
      <c r="M100" s="24">
        <f t="shared" si="21"/>
        <v>9.7500000000000018</v>
      </c>
      <c r="N100" s="24">
        <f t="shared" si="22"/>
        <v>9.8000000000000007</v>
      </c>
      <c r="O100" s="24" t="str">
        <f t="shared" si="23"/>
        <v>-3,16512326438539+6,20414531409364i</v>
      </c>
      <c r="P100" s="24" t="str">
        <f t="shared" si="24"/>
        <v>-3,15524569784663+6,18872943014332i</v>
      </c>
      <c r="Q100" s="24" t="str">
        <f t="shared" si="25"/>
        <v>-2,83859204069642+6,34599783670871i</v>
      </c>
    </row>
    <row r="101" spans="4:17" x14ac:dyDescent="0.45">
      <c r="D101" s="27">
        <v>98</v>
      </c>
      <c r="E101" s="26">
        <f t="shared" si="33"/>
        <v>9.8000000000000007</v>
      </c>
      <c r="F101" s="24" t="str">
        <f t="shared" si="27"/>
        <v>-2,83810129577216+6,34635278206659i</v>
      </c>
      <c r="G101" s="24" t="str">
        <f t="shared" si="32"/>
        <v>-2,16975995994105+6,59699239978138i</v>
      </c>
      <c r="H101" s="24" t="str">
        <f t="shared" si="28"/>
        <v>6,52959234669255+2,83810129577216i</v>
      </c>
      <c r="I101" s="24" t="str">
        <f t="shared" si="29"/>
        <v>6,69451937581375+2,51162167843753i</v>
      </c>
      <c r="J101" s="24" t="str">
        <f t="shared" si="30"/>
        <v>6,67819539494702+2,50337532698147i</v>
      </c>
      <c r="K101" s="24" t="str">
        <f t="shared" si="31"/>
        <v>6,8254582616524+2,17028175627746i</v>
      </c>
      <c r="L101" s="25"/>
      <c r="M101" s="24">
        <f t="shared" si="21"/>
        <v>9.8500000000000014</v>
      </c>
      <c r="N101" s="24">
        <f t="shared" si="22"/>
        <v>9.9</v>
      </c>
      <c r="O101" s="24" t="str">
        <f t="shared" si="23"/>
        <v>-2,51162167843753+6,4882578468552i</v>
      </c>
      <c r="P101" s="24" t="str">
        <f t="shared" si="24"/>
        <v>-2,50337532698147+6,47193386598847i</v>
      </c>
      <c r="Q101" s="24" t="str">
        <f t="shared" si="25"/>
        <v>-2,17028175627746+6,59669031476474i</v>
      </c>
    </row>
    <row r="102" spans="4:17" x14ac:dyDescent="0.45">
      <c r="D102" s="27">
        <v>99</v>
      </c>
      <c r="E102" s="26">
        <f t="shared" si="33"/>
        <v>9.9</v>
      </c>
      <c r="F102" s="24" t="str">
        <f t="shared" si="27"/>
        <v>-2,16975995994105+6,59699239978138i</v>
      </c>
      <c r="G102" s="24" t="str">
        <f t="shared" si="32"/>
        <v>-1,47530060279407+6,77943329265959i</v>
      </c>
      <c r="H102" s="24" t="str">
        <f t="shared" si="28"/>
        <v>6,82576034666904+2,16975995994105i</v>
      </c>
      <c r="I102" s="24" t="str">
        <f t="shared" si="29"/>
        <v>6,95618296186803+1,8284719426076i</v>
      </c>
      <c r="J102" s="24" t="str">
        <f t="shared" si="30"/>
        <v>6,93911856100136+1,82195081184765i</v>
      </c>
      <c r="K102" s="24" t="str">
        <f t="shared" si="31"/>
        <v>7,05119803641082+1,47584810384091i</v>
      </c>
      <c r="L102" s="25"/>
      <c r="M102" s="24">
        <f t="shared" si="21"/>
        <v>9.9500000000000011</v>
      </c>
      <c r="N102" s="24">
        <f t="shared" si="22"/>
        <v>10</v>
      </c>
      <c r="O102" s="24" t="str">
        <f t="shared" si="23"/>
        <v>-1,8284719426076+6,70548039777843i</v>
      </c>
      <c r="P102" s="24" t="str">
        <f t="shared" si="24"/>
        <v>-1,82195081184765+6,68841599691176i</v>
      </c>
      <c r="Q102" s="24" t="str">
        <f t="shared" si="25"/>
        <v>-1,47584810384091+6,77918748096614i</v>
      </c>
    </row>
    <row r="103" spans="4:17" x14ac:dyDescent="0.45">
      <c r="D103" s="27">
        <v>100</v>
      </c>
      <c r="E103" s="26">
        <f t="shared" si="33"/>
        <v>10</v>
      </c>
      <c r="F103" s="24" t="str">
        <f t="shared" si="27"/>
        <v>-1,47530060279407+6,77943329265959i</v>
      </c>
      <c r="G103" s="24" t="str">
        <f t="shared" si="32"/>
        <v>-0,761912201780603+6,89142087092529i</v>
      </c>
      <c r="H103" s="24" t="str">
        <f t="shared" si="28"/>
        <v>7,05144384810427+1,47530060279407i</v>
      </c>
      <c r="I103" s="24" t="str">
        <f t="shared" si="29"/>
        <v>7,14583698487081+1,12272841038886i</v>
      </c>
      <c r="J103" s="24" t="str">
        <f t="shared" si="30"/>
        <v>7,12820837525055+1,11800875355053i</v>
      </c>
      <c r="K103" s="24" t="str">
        <f t="shared" si="31"/>
        <v>7,20376949246108+0,762479765269015i</v>
      </c>
      <c r="L103" s="25"/>
      <c r="M103" s="24">
        <f t="shared" si="21"/>
        <v>10.050000000000001</v>
      </c>
      <c r="N103" s="24">
        <f t="shared" si="22"/>
        <v>10.1</v>
      </c>
      <c r="O103" s="24" t="str">
        <f t="shared" si="23"/>
        <v>-1,12272841038886+6,85319832279929i</v>
      </c>
      <c r="P103" s="24" t="str">
        <f t="shared" si="24"/>
        <v>-1,11800875355053+6,83556971317903i</v>
      </c>
      <c r="Q103" s="24" t="str">
        <f t="shared" si="25"/>
        <v>-0,762479765269015+6,89123416801464i</v>
      </c>
    </row>
    <row r="104" spans="4:17" x14ac:dyDescent="0.45">
      <c r="H104" s="23"/>
    </row>
    <row r="105" spans="4:17" x14ac:dyDescent="0.45">
      <c r="H105" s="23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3"/>
  <dimension ref="A2:R103"/>
  <sheetViews>
    <sheetView workbookViewId="0">
      <selection activeCell="K2" sqref="K2"/>
    </sheetView>
  </sheetViews>
  <sheetFormatPr defaultRowHeight="14.25" x14ac:dyDescent="0.45"/>
  <cols>
    <col min="2" max="2" width="18.86328125" bestFit="1" customWidth="1"/>
    <col min="3" max="3" width="4.265625" customWidth="1"/>
    <col min="4" max="5" width="4" bestFit="1" customWidth="1"/>
    <col min="6" max="7" width="37.59765625" bestFit="1" customWidth="1"/>
    <col min="8" max="8" width="38.3984375" bestFit="1" customWidth="1"/>
    <col min="9" max="9" width="37.265625" bestFit="1" customWidth="1"/>
    <col min="10" max="11" width="38.1328125" bestFit="1" customWidth="1"/>
    <col min="12" max="12" width="4.3984375" customWidth="1"/>
    <col min="13" max="13" width="10.59765625" bestFit="1" customWidth="1"/>
    <col min="14" max="14" width="5.86328125" bestFit="1" customWidth="1"/>
    <col min="15" max="15" width="37.265625" bestFit="1" customWidth="1"/>
    <col min="16" max="16" width="36.59765625" bestFit="1" customWidth="1"/>
    <col min="17" max="17" width="38.1328125" bestFit="1" customWidth="1"/>
  </cols>
  <sheetData>
    <row r="2" spans="1:18" x14ac:dyDescent="0.45">
      <c r="D2" s="31" t="s">
        <v>52</v>
      </c>
      <c r="E2" s="31" t="s">
        <v>51</v>
      </c>
      <c r="F2" s="31" t="s">
        <v>58</v>
      </c>
      <c r="G2" s="31" t="s">
        <v>57</v>
      </c>
      <c r="H2" s="31" t="s">
        <v>48</v>
      </c>
      <c r="I2" s="31" t="s">
        <v>47</v>
      </c>
      <c r="J2" s="31" t="s">
        <v>46</v>
      </c>
      <c r="K2" s="31" t="s">
        <v>45</v>
      </c>
      <c r="L2" s="31"/>
      <c r="M2" s="31" t="s">
        <v>44</v>
      </c>
      <c r="N2" s="31" t="s">
        <v>43</v>
      </c>
      <c r="O2" s="31" t="s">
        <v>56</v>
      </c>
      <c r="P2" s="31" t="s">
        <v>55</v>
      </c>
      <c r="Q2" s="39" t="s">
        <v>54</v>
      </c>
      <c r="R2" s="38"/>
    </row>
    <row r="3" spans="1:18" x14ac:dyDescent="0.45">
      <c r="A3" s="31" t="s">
        <v>39</v>
      </c>
      <c r="B3" s="27">
        <v>0</v>
      </c>
      <c r="D3" s="27">
        <v>0</v>
      </c>
      <c r="E3" s="26">
        <f>B3</f>
        <v>0</v>
      </c>
      <c r="F3" s="33" t="str">
        <f>B5</f>
        <v>-5-2,5i</v>
      </c>
      <c r="G3" s="24" t="str">
        <f t="shared" ref="G3:G34" si="0">IMSUM(F3,IMPRODUCT((IMSUM(H3,IMPRODUCT(2,I3),IMPRODUCT(2,J3),K3)),$B$4/6))</f>
        <v>-4,72294166501764-2,98659378471788i</v>
      </c>
      <c r="H3" s="24" t="str">
        <f>IMSUM((-1/2)*(($B$7/$B$6)^(1/2))*$B$8*SIN(E3)/$B$7,IMPRODUCT(COMPLEX(0,1),(($B$6/$B$7)^(1/2)),F3))</f>
        <v>2,5-5i</v>
      </c>
      <c r="I3" s="24" t="str">
        <f>IMSUM((-1/2)*(($B$7/$B$6)^(1/2))*$B$8*SIN(M3)/$B$7,IMPRODUCT(COMPLEX(0,1),(($B$6/$B$7)^(1/2)),O3))</f>
        <v>2,77498958463534-4,875i</v>
      </c>
      <c r="J3" s="24" t="str">
        <f>IMSUM((-1/2)*(($B$7/$B$6)^(1/2))*$B$8*SIN(M3)/$B$7,IMPRODUCT(COMPLEX(0,1),(($B$6/$B$7)^(1/2)),P3))</f>
        <v>2,76873958463534-4,86125052076823i</v>
      </c>
      <c r="K3" s="24" t="str">
        <f>IMSUM((-1/2)*(($B$7/$B$6)^(1/2))*$B$8*SIN(N3)/$B$7,IMPRODUCT(COMPLEX(0,1),(($B$6/$B$7)^(1/2)),Q3))</f>
        <v>3,03604176040023-4,72312604153647i</v>
      </c>
      <c r="L3" s="25"/>
      <c r="M3" s="24">
        <f t="shared" ref="M3:M34" si="1">E3+(1/2)*$B$4</f>
        <v>0.05</v>
      </c>
      <c r="N3" s="24">
        <f t="shared" ref="N3:N34" si="2">E3+$B$4</f>
        <v>0.1</v>
      </c>
      <c r="O3" s="24" t="str">
        <f t="shared" ref="O3:O34" si="3">IMSUM(F3,IMPRODUCT(1/2,H3,$B$4))</f>
        <v>-4,875-2,75i</v>
      </c>
      <c r="P3" s="24" t="str">
        <f t="shared" ref="P3:P34" si="4">IMSUM(F3,IMPRODUCT(1/2,I3,$B$4))</f>
        <v>-4,86125052076823-2,74375i</v>
      </c>
      <c r="Q3" s="37" t="str">
        <f t="shared" ref="Q3:Q34" si="5">IMSUM(F3,IMPRODUCT(J3,$B$4))</f>
        <v>-4,72312604153647-2,98612505207682i</v>
      </c>
      <c r="R3" s="36"/>
    </row>
    <row r="4" spans="1:18" x14ac:dyDescent="0.45">
      <c r="A4" s="31" t="s">
        <v>38</v>
      </c>
      <c r="B4" s="27">
        <v>0.1</v>
      </c>
      <c r="D4" s="27">
        <v>1</v>
      </c>
      <c r="E4" s="26">
        <f t="shared" ref="E4:E35" si="6">D4*$B$4+$B$3</f>
        <v>0.1</v>
      </c>
      <c r="F4" s="24" t="str">
        <f t="shared" ref="F4:F35" si="7">G3</f>
        <v>-4,72294166501764-2,98659378471788i</v>
      </c>
      <c r="G4" s="24" t="str">
        <f t="shared" si="0"/>
        <v>-4,3937266151119-3,44284821941095i</v>
      </c>
      <c r="H4" s="24" t="str">
        <f t="shared" ref="H4:H67" si="8">IMSUM((-1/2)*(($B$7/$B$6)^(1/2))*$B$8*SIN(E4)/$B$7,IMPRODUCT(COMPLEX(0,1),(($B$6/$B$7)^(1/2)),F4))</f>
        <v>3,03651049304129-4,72294166501764i</v>
      </c>
      <c r="I4" s="24" t="str">
        <f t="shared" ref="I4:I67" si="9">IMSUM((-1/2)*(($B$7/$B$6)^(1/2))*$B$8*SIN(M4)/$B$7,IMPRODUCT(COMPLEX(0,1),(($B$6/$B$7)^(1/2)),O4))</f>
        <v>3,29745993420556-4,57111614036558i</v>
      </c>
      <c r="J4" s="24" t="str">
        <f t="shared" ref="J4:J67" si="10">IMSUM((-1/2)*(($B$7/$B$6)^(1/2))*$B$8*SIN(M4)/$B$7,IMPRODUCT(COMPLEX(0,1),(($B$6/$B$7)^(1/2)),P4))</f>
        <v>3,28986865797296-4,55806866830736i</v>
      </c>
      <c r="K4" s="24" t="str">
        <f t="shared" ref="K4:K67" si="11">IMSUM((-1/2)*(($B$7/$B$6)^(1/2))*$B$8*SIN(N4)/$B$7,IMPRODUCT(COMPLEX(0,1),(($B$6/$B$7)^(1/2)),Q4))</f>
        <v>3,54173531694615-4,39395479922034i</v>
      </c>
      <c r="L4" s="25"/>
      <c r="M4" s="24">
        <f t="shared" si="1"/>
        <v>0.15000000000000002</v>
      </c>
      <c r="N4" s="24">
        <f t="shared" si="2"/>
        <v>0.2</v>
      </c>
      <c r="O4" s="24" t="str">
        <f t="shared" si="3"/>
        <v>-4,57111614036558-3,22274086796876i</v>
      </c>
      <c r="P4" s="24" t="str">
        <f t="shared" si="4"/>
        <v>-4,55806866830736-3,21514959173616i</v>
      </c>
      <c r="Q4" s="37" t="str">
        <f t="shared" si="5"/>
        <v>-4,39395479922034-3,44240065154862i</v>
      </c>
      <c r="R4" s="36"/>
    </row>
    <row r="5" spans="1:18" x14ac:dyDescent="0.45">
      <c r="A5" s="31" t="s">
        <v>37</v>
      </c>
      <c r="B5" s="27" t="str">
        <f>IMPRODUCT(-1/2,COMPLEX(((B7/B6)^(1/2))*'Calculo Final'!B9,'Calculo Final'!B5))</f>
        <v>-5-2,5i</v>
      </c>
      <c r="D5" s="27">
        <v>2</v>
      </c>
      <c r="E5" s="26">
        <f t="shared" si="6"/>
        <v>0.2</v>
      </c>
      <c r="F5" s="24" t="str">
        <f t="shared" si="7"/>
        <v>-4,3937266151119-3,44284821941095i</v>
      </c>
      <c r="G5" s="24" t="str">
        <f t="shared" si="0"/>
        <v>-4,01571881692584-3,8637112134435i</v>
      </c>
      <c r="H5" s="24" t="str">
        <f t="shared" si="8"/>
        <v>3,54218288480848-4,3937266151119i</v>
      </c>
      <c r="I5" s="24" t="str">
        <f t="shared" si="9"/>
        <v>3,78623652979381-4,21661747087148i</v>
      </c>
      <c r="J5" s="24" t="str">
        <f t="shared" si="10"/>
        <v>3,77738107258178-4,20441478862221i</v>
      </c>
      <c r="K5" s="24" t="str">
        <f t="shared" si="11"/>
        <v>4,01104980160384-4,01598850785372i</v>
      </c>
      <c r="L5" s="25"/>
      <c r="M5" s="24">
        <f t="shared" si="1"/>
        <v>0.25</v>
      </c>
      <c r="N5" s="24">
        <f t="shared" si="2"/>
        <v>0.30000000000000004</v>
      </c>
      <c r="O5" s="24" t="str">
        <f t="shared" si="3"/>
        <v>-4,21661747087148-3,66253455016655i</v>
      </c>
      <c r="P5" s="24" t="str">
        <f t="shared" si="4"/>
        <v>-4,20441478862221-3,65367909295452i</v>
      </c>
      <c r="Q5" s="37" t="str">
        <f t="shared" si="5"/>
        <v>-4,01598850785372-3,86328969827317i</v>
      </c>
      <c r="R5" s="36"/>
    </row>
    <row r="6" spans="1:18" x14ac:dyDescent="0.45">
      <c r="A6" s="31" t="s">
        <v>36</v>
      </c>
      <c r="B6" s="27">
        <f>'Calculo Final'!B6</f>
        <v>1</v>
      </c>
      <c r="D6" s="27">
        <v>3</v>
      </c>
      <c r="E6" s="26">
        <f t="shared" si="6"/>
        <v>0.30000000000000004</v>
      </c>
      <c r="F6" s="24" t="str">
        <f t="shared" si="7"/>
        <v>-4,01571881692584-3,8637112134435i</v>
      </c>
      <c r="G6" s="24" t="str">
        <f t="shared" si="0"/>
        <v>-3,5928186381215-4,24449420387856i</v>
      </c>
      <c r="H6" s="24" t="str">
        <f t="shared" si="8"/>
        <v>4,01147131677417-4,01571881692584i</v>
      </c>
      <c r="I6" s="24" t="str">
        <f t="shared" si="9"/>
        <v>4,23594605801752-3,81514525108713i</v>
      </c>
      <c r="J6" s="24" t="str">
        <f t="shared" si="10"/>
        <v>4,22591737972559-3,80392151402496i</v>
      </c>
      <c r="K6" s="24" t="str">
        <f t="shared" si="11"/>
        <v>4,43881253600032-3,59312707895328i</v>
      </c>
      <c r="L6" s="25"/>
      <c r="M6" s="24">
        <f t="shared" si="1"/>
        <v>0.35000000000000003</v>
      </c>
      <c r="N6" s="24">
        <f t="shared" si="2"/>
        <v>0.4</v>
      </c>
      <c r="O6" s="24" t="str">
        <f t="shared" si="3"/>
        <v>-3,81514525108713-4,06449715428979i</v>
      </c>
      <c r="P6" s="24" t="str">
        <f t="shared" si="4"/>
        <v>-3,80392151402496-4,05446847599786i</v>
      </c>
      <c r="Q6" s="37" t="str">
        <f t="shared" si="5"/>
        <v>-3,59312707895328-4,244103364846i</v>
      </c>
      <c r="R6" s="36"/>
    </row>
    <row r="7" spans="1:18" x14ac:dyDescent="0.45">
      <c r="A7" s="31" t="s">
        <v>35</v>
      </c>
      <c r="B7" s="27">
        <f>'Calculo Final'!B7</f>
        <v>1</v>
      </c>
      <c r="D7" s="27">
        <v>4</v>
      </c>
      <c r="E7" s="26">
        <f t="shared" si="6"/>
        <v>0.4</v>
      </c>
      <c r="F7" s="24" t="str">
        <f t="shared" si="7"/>
        <v>-3,5928186381215-4,24449420387856i</v>
      </c>
      <c r="G7" s="24" t="str">
        <f t="shared" si="0"/>
        <v>-3,12942264283821-4,58092383240358i</v>
      </c>
      <c r="H7" s="24" t="str">
        <f t="shared" si="8"/>
        <v>4,43920337503288-3,5928186381215i</v>
      </c>
      <c r="I7" s="24" t="str">
        <f t="shared" si="9"/>
        <v>4,64161790284025-3,37085846936986i</v>
      </c>
      <c r="J7" s="24" t="str">
        <f t="shared" si="10"/>
        <v>4,63051989440267-3,36073774297949i</v>
      </c>
      <c r="K7" s="24" t="str">
        <f t="shared" si="11"/>
        <v>4,82028074747861-3,12976664868123i</v>
      </c>
      <c r="L7" s="25"/>
      <c r="M7" s="24">
        <f t="shared" si="1"/>
        <v>0.45</v>
      </c>
      <c r="N7" s="24">
        <f t="shared" si="2"/>
        <v>0.5</v>
      </c>
      <c r="O7" s="24" t="str">
        <f t="shared" si="3"/>
        <v>-3,37085846936986-4,42413513578463i</v>
      </c>
      <c r="P7" s="24" t="str">
        <f t="shared" si="4"/>
        <v>-3,36073774297949-4,41303712734705i</v>
      </c>
      <c r="Q7" s="37" t="str">
        <f t="shared" si="5"/>
        <v>-3,12976664868123-4,58056797817651i</v>
      </c>
      <c r="R7" s="36"/>
    </row>
    <row r="8" spans="1:18" x14ac:dyDescent="0.45">
      <c r="A8" s="31" t="s">
        <v>53</v>
      </c>
      <c r="B8" s="27">
        <f>'Calculo Final'!B8</f>
        <v>-1</v>
      </c>
      <c r="D8" s="27">
        <v>5</v>
      </c>
      <c r="E8" s="26">
        <f t="shared" si="6"/>
        <v>0.5</v>
      </c>
      <c r="F8" s="24" t="str">
        <f t="shared" si="7"/>
        <v>-3,12942264283821-4,58092383240358i</v>
      </c>
      <c r="G8" s="24" t="str">
        <f t="shared" si="0"/>
        <v>-2,63037795325104-4,86918932640703i</v>
      </c>
      <c r="H8" s="24" t="str">
        <f t="shared" si="8"/>
        <v>4,82063660170568-3,12942264283821i</v>
      </c>
      <c r="I8" s="24" t="str">
        <f t="shared" si="9"/>
        <v>4,99873857901082-2,88839081275293i</v>
      </c>
      <c r="J8" s="24" t="str">
        <f t="shared" si="10"/>
        <v>4,98668698750656-2,87948571388767i</v>
      </c>
      <c r="K8" s="24" t="str">
        <f t="shared" si="11"/>
        <v>5,15119364048987-2,63075394408755i</v>
      </c>
      <c r="L8" s="25"/>
      <c r="M8" s="24">
        <f t="shared" si="1"/>
        <v>0.55000000000000004</v>
      </c>
      <c r="N8" s="24">
        <f t="shared" si="2"/>
        <v>0.6</v>
      </c>
      <c r="O8" s="24" t="str">
        <f t="shared" si="3"/>
        <v>-2,88839081275293-4,73739496454549i</v>
      </c>
      <c r="P8" s="24" t="str">
        <f t="shared" si="4"/>
        <v>-2,87948571388767-4,72534337304123i</v>
      </c>
      <c r="Q8" s="37" t="str">
        <f t="shared" si="5"/>
        <v>-2,63075394408755-4,86887240379235i</v>
      </c>
      <c r="R8" s="36"/>
    </row>
    <row r="9" spans="1:18" x14ac:dyDescent="0.45">
      <c r="D9" s="27">
        <v>6</v>
      </c>
      <c r="E9" s="26">
        <f t="shared" si="6"/>
        <v>0.60000000000000009</v>
      </c>
      <c r="F9" s="24" t="str">
        <f t="shared" si="7"/>
        <v>-2,63037795325104-4,86918932640703i</v>
      </c>
      <c r="G9" s="24" t="str">
        <f t="shared" si="0"/>
        <v>-2,10093165031344-5,10598506399785i</v>
      </c>
      <c r="H9" s="24" t="str">
        <f t="shared" si="8"/>
        <v>5,15151056310455-2,63037795325104i</v>
      </c>
      <c r="I9" s="24" t="str">
        <f t="shared" si="9"/>
        <v>5,3033014269376-2,37280242509581i</v>
      </c>
      <c r="J9" s="24" t="str">
        <f t="shared" si="10"/>
        <v>5,29042265052984-2,36521288190416i</v>
      </c>
      <c r="K9" s="24" t="str">
        <f t="shared" si="11"/>
        <v>5,4278194582163-2,10133568819806i</v>
      </c>
      <c r="L9" s="25"/>
      <c r="M9" s="24">
        <f t="shared" si="1"/>
        <v>0.65000000000000013</v>
      </c>
      <c r="N9" s="24">
        <f t="shared" si="2"/>
        <v>0.70000000000000007</v>
      </c>
      <c r="O9" s="24" t="str">
        <f t="shared" si="3"/>
        <v>-2,37280242509581-5,00070822406958i</v>
      </c>
      <c r="P9" s="24" t="str">
        <f t="shared" si="4"/>
        <v>-2,36521288190416-4,98782944766182i</v>
      </c>
      <c r="Q9" s="37" t="str">
        <f t="shared" si="5"/>
        <v>-2,10133568819806-5,10571061459745i</v>
      </c>
      <c r="R9" s="36"/>
    </row>
    <row r="10" spans="1:18" x14ac:dyDescent="0.45">
      <c r="D10" s="27">
        <v>7</v>
      </c>
      <c r="E10" s="26">
        <f t="shared" si="6"/>
        <v>0.70000000000000007</v>
      </c>
      <c r="F10" s="24" t="str">
        <f t="shared" si="7"/>
        <v>-2,10093165031344-5,10598506399785i</v>
      </c>
      <c r="G10" s="24" t="str">
        <f t="shared" si="0"/>
        <v>-1,54667574092135-5,28854785281936i</v>
      </c>
      <c r="H10" s="24" t="str">
        <f t="shared" si="8"/>
        <v>5,4280939076167-2,10093165031344i</v>
      </c>
      <c r="I10" s="24" t="str">
        <f t="shared" si="9"/>
        <v>5,55185102652519-1,8295269549326i</v>
      </c>
      <c r="J10" s="24" t="str">
        <f t="shared" si="10"/>
        <v>5,53828079175615-1,82333909898718i</v>
      </c>
      <c r="K10" s="24" t="str">
        <f t="shared" si="11"/>
        <v>5,64699701934633-1,54710357113782i</v>
      </c>
      <c r="L10" s="25"/>
      <c r="M10" s="24">
        <f t="shared" si="1"/>
        <v>0.75000000000000011</v>
      </c>
      <c r="N10" s="24">
        <f t="shared" si="2"/>
        <v>0.8</v>
      </c>
      <c r="O10" s="24" t="str">
        <f t="shared" si="3"/>
        <v>-1,8295269549326-5,21103164651352i</v>
      </c>
      <c r="P10" s="24" t="str">
        <f t="shared" si="4"/>
        <v>-1,82333909898718-5,19746141174448i</v>
      </c>
      <c r="Q10" s="37" t="str">
        <f t="shared" si="5"/>
        <v>-1,54710357113782-5,28831897389657i</v>
      </c>
      <c r="R10" s="36"/>
    </row>
    <row r="11" spans="1:18" x14ac:dyDescent="0.45">
      <c r="D11" s="27">
        <v>8</v>
      </c>
      <c r="E11" s="26">
        <f t="shared" si="6"/>
        <v>0.8</v>
      </c>
      <c r="F11" s="24" t="str">
        <f t="shared" si="7"/>
        <v>-1,54667574092135-5,28854785281936i</v>
      </c>
      <c r="G11" s="24" t="str">
        <f t="shared" si="0"/>
        <v>-0,97348826740413-5,41468850771417i</v>
      </c>
      <c r="H11" s="24" t="str">
        <f t="shared" si="8"/>
        <v>5,64722589826912-1,54667574092135i</v>
      </c>
      <c r="I11" s="24" t="str">
        <f t="shared" si="9"/>
        <v>5,74152184243558-1,26431444600789i</v>
      </c>
      <c r="J11" s="24" t="str">
        <f t="shared" si="10"/>
        <v>5,7274037776899-1,25959964879957i</v>
      </c>
      <c r="K11" s="24" t="str">
        <f t="shared" si="11"/>
        <v>5,80617127251306-0,97393536315236i</v>
      </c>
      <c r="L11" s="25"/>
      <c r="M11" s="24">
        <f t="shared" si="1"/>
        <v>0.85000000000000009</v>
      </c>
      <c r="N11" s="24">
        <f t="shared" si="2"/>
        <v>0.9</v>
      </c>
      <c r="O11" s="24" t="str">
        <f t="shared" si="3"/>
        <v>-1,26431444600789-5,36588163986543i</v>
      </c>
      <c r="P11" s="24" t="str">
        <f t="shared" si="4"/>
        <v>-1,25959964879957-5,35176357511975i</v>
      </c>
      <c r="Q11" s="37" t="str">
        <f t="shared" si="5"/>
        <v>-0,97393536315236-5,41450781769932i</v>
      </c>
      <c r="R11" s="36"/>
    </row>
    <row r="12" spans="1:18" x14ac:dyDescent="0.45">
      <c r="D12" s="27">
        <v>9</v>
      </c>
      <c r="E12" s="26">
        <f t="shared" si="6"/>
        <v>0.9</v>
      </c>
      <c r="F12" s="24" t="str">
        <f t="shared" si="7"/>
        <v>-0,97348826740413-5,41468850771417i</v>
      </c>
      <c r="G12" s="24" t="str">
        <f t="shared" si="0"/>
        <v>-0,387471177902085-5,48281737207195i</v>
      </c>
      <c r="H12" s="24" t="str">
        <f t="shared" si="8"/>
        <v>5,80635196252791-0,97348826740413i</v>
      </c>
      <c r="I12" s="24" t="str">
        <f t="shared" si="9"/>
        <v>5,87007067347907-0,683170669277734i</v>
      </c>
      <c r="J12" s="24" t="str">
        <f t="shared" si="10"/>
        <v>5,85555479357275-0,679984733730177i</v>
      </c>
      <c r="K12" s="24" t="str">
        <f t="shared" si="11"/>
        <v>5,90342247349114-0,387932788046855i</v>
      </c>
      <c r="L12" s="25"/>
      <c r="M12" s="24">
        <f t="shared" si="1"/>
        <v>0.95000000000000007</v>
      </c>
      <c r="N12" s="24">
        <f t="shared" si="2"/>
        <v>1</v>
      </c>
      <c r="O12" s="24" t="str">
        <f t="shared" si="3"/>
        <v>-0,683170669277734-5,46336292108438i</v>
      </c>
      <c r="P12" s="24" t="str">
        <f t="shared" si="4"/>
        <v>-0,679984733730177-5,44884704117806i</v>
      </c>
      <c r="Q12" s="37" t="str">
        <f t="shared" si="5"/>
        <v>-0,387932788046855-5,48268698108719i</v>
      </c>
      <c r="R12" s="36"/>
    </row>
    <row r="13" spans="1:18" x14ac:dyDescent="0.45">
      <c r="D13" s="27">
        <v>10</v>
      </c>
      <c r="E13" s="26">
        <f t="shared" si="6"/>
        <v>1</v>
      </c>
      <c r="F13" s="24" t="str">
        <f t="shared" si="7"/>
        <v>-0,387471177902085-5,48281737207195i</v>
      </c>
      <c r="G13" s="24" t="str">
        <f t="shared" si="0"/>
        <v>0,205114387637645-5,49196349141242i</v>
      </c>
      <c r="H13" s="24" t="str">
        <f t="shared" si="8"/>
        <v>5,9035528644759-0,387471177902085i</v>
      </c>
      <c r="I13" s="24" t="str">
        <f t="shared" si="9"/>
        <v>5,93590254376406-0,09229353467829i</v>
      </c>
      <c r="J13" s="24" t="str">
        <f t="shared" si="10"/>
        <v>5,92114366160287-0,090676050713882i</v>
      </c>
      <c r="K13" s="24" t="str">
        <f t="shared" si="11"/>
        <v>5,93748865717406+0,204643188258202i</v>
      </c>
      <c r="L13" s="25"/>
      <c r="M13" s="24">
        <f t="shared" si="1"/>
        <v>1.05</v>
      </c>
      <c r="N13" s="24">
        <f t="shared" si="2"/>
        <v>1.1000000000000001</v>
      </c>
      <c r="O13" s="24" t="str">
        <f t="shared" si="3"/>
        <v>-0,09229353467829-5,50219093096705i</v>
      </c>
      <c r="P13" s="24" t="str">
        <f t="shared" si="4"/>
        <v>-0,090676050713882-5,48743204880586i</v>
      </c>
      <c r="Q13" s="37" t="str">
        <f t="shared" si="5"/>
        <v>0,204643188258202-5,49188497714334i</v>
      </c>
      <c r="R13" s="36"/>
    </row>
    <row r="14" spans="1:18" x14ac:dyDescent="0.45">
      <c r="D14" s="27">
        <v>11</v>
      </c>
      <c r="E14" s="26">
        <f t="shared" si="6"/>
        <v>1.1000000000000001</v>
      </c>
      <c r="F14" s="24" t="str">
        <f t="shared" si="7"/>
        <v>0,205114387637645-5,49196349141242i</v>
      </c>
      <c r="G14" s="24" t="str">
        <f t="shared" si="0"/>
        <v>0,797914711823488-5,44178721475226i</v>
      </c>
      <c r="H14" s="24" t="str">
        <f t="shared" si="8"/>
        <v>5,93756717144314+0,205114387637645i</v>
      </c>
      <c r="I14" s="24" t="str">
        <f t="shared" si="9"/>
        <v>5,9380897421608+0,501992746209802i</v>
      </c>
      <c r="J14" s="24" t="str">
        <f t="shared" si="10"/>
        <v>5,92324582423219+0,502018874745685i</v>
      </c>
      <c r="K14" s="24" t="str">
        <f t="shared" si="11"/>
        <v>5,90778114692146+0,797438970060864i</v>
      </c>
      <c r="L14" s="25"/>
      <c r="M14" s="24">
        <f t="shared" si="1"/>
        <v>1.1500000000000001</v>
      </c>
      <c r="N14" s="24">
        <f t="shared" si="2"/>
        <v>1.2000000000000002</v>
      </c>
      <c r="O14" s="24" t="str">
        <f t="shared" si="3"/>
        <v>0,501992746209802-5,48170777203054i</v>
      </c>
      <c r="P14" s="24" t="str">
        <f t="shared" si="4"/>
        <v>0,502018874745685-5,46686385410193i</v>
      </c>
      <c r="Q14" s="37" t="str">
        <f t="shared" si="5"/>
        <v>0,797438970060864-5,44176160393785i</v>
      </c>
      <c r="R14" s="36"/>
    </row>
    <row r="15" spans="1:18" x14ac:dyDescent="0.45">
      <c r="D15" s="27">
        <v>12</v>
      </c>
      <c r="E15" s="26">
        <f t="shared" si="6"/>
        <v>1.2000000000000002</v>
      </c>
      <c r="F15" s="24" t="str">
        <f t="shared" si="7"/>
        <v>0,797914711823488-5,44178721475226i</v>
      </c>
      <c r="G15" s="24" t="str">
        <f t="shared" si="0"/>
        <v>1,38455130843411-5,33258606887238i</v>
      </c>
      <c r="H15" s="24" t="str">
        <f t="shared" si="8"/>
        <v>5,90780675773587+0,797914711823488i</v>
      </c>
      <c r="I15" s="24" t="str">
        <f t="shared" si="9"/>
        <v>5,87638378883888+1,09330504971028i</v>
      </c>
      <c r="J15" s="24" t="str">
        <f t="shared" si="10"/>
        <v>5,86161427194454+1,09173390126543i</v>
      </c>
      <c r="K15" s="24" t="str">
        <f t="shared" si="11"/>
        <v>5,81439291733432+1,38407613901794i</v>
      </c>
      <c r="L15" s="25"/>
      <c r="M15" s="24">
        <f t="shared" si="1"/>
        <v>1.2500000000000002</v>
      </c>
      <c r="N15" s="24">
        <f t="shared" si="2"/>
        <v>1.3000000000000003</v>
      </c>
      <c r="O15" s="24" t="str">
        <f t="shared" si="3"/>
        <v>1,09330504971028-5,40189147916109i</v>
      </c>
      <c r="P15" s="24" t="str">
        <f t="shared" si="4"/>
        <v>1,09173390126543-5,38712196226675i</v>
      </c>
      <c r="Q15" s="37" t="str">
        <f t="shared" si="5"/>
        <v>1,38407613901794-5,33261382462572i</v>
      </c>
      <c r="R15" s="36"/>
    </row>
    <row r="16" spans="1:18" x14ac:dyDescent="0.45">
      <c r="D16" s="27">
        <v>13</v>
      </c>
      <c r="E16" s="26">
        <f t="shared" si="6"/>
        <v>1.3</v>
      </c>
      <c r="F16" s="24" t="str">
        <f t="shared" si="7"/>
        <v>1,38455130843411-5,33258606887238i</v>
      </c>
      <c r="G16" s="24" t="str">
        <f t="shared" si="0"/>
        <v>1,95868920455645-5,16529382200663i</v>
      </c>
      <c r="H16" s="24" t="str">
        <f t="shared" si="8"/>
        <v>5,81436516158098+1,38455130843411i</v>
      </c>
      <c r="I16" s="24" t="str">
        <f t="shared" si="9"/>
        <v>5,751220182364+1,67526956651316i</v>
      </c>
      <c r="J16" s="24" t="str">
        <f t="shared" si="10"/>
        <v>5,73668426946005+1,67211231755231i</v>
      </c>
      <c r="K16" s="24" t="str">
        <f t="shared" si="11"/>
        <v>5,65809970211138+1,95821973538011i</v>
      </c>
      <c r="L16" s="25"/>
      <c r="M16" s="24">
        <f t="shared" si="1"/>
        <v>1.35</v>
      </c>
      <c r="N16" s="24">
        <f t="shared" si="2"/>
        <v>1.4000000000000001</v>
      </c>
      <c r="O16" s="24" t="str">
        <f t="shared" si="3"/>
        <v>1,67526956651316-5,26335850345067i</v>
      </c>
      <c r="P16" s="24" t="str">
        <f t="shared" si="4"/>
        <v>1,67211231755231-5,24882259054672i</v>
      </c>
      <c r="Q16" s="37" t="str">
        <f t="shared" si="5"/>
        <v>1,95821973538011-5,16537483711715i</v>
      </c>
      <c r="R16" s="36"/>
    </row>
    <row r="17" spans="4:18" x14ac:dyDescent="0.45">
      <c r="D17" s="27">
        <v>14</v>
      </c>
      <c r="E17" s="26">
        <f t="shared" si="6"/>
        <v>1.4000000000000001</v>
      </c>
      <c r="F17" s="24" t="str">
        <f t="shared" si="7"/>
        <v>1,95868920455645-5,16529382200663i</v>
      </c>
      <c r="G17" s="24" t="str">
        <f t="shared" si="0"/>
        <v>2,5141049685285-4,94147272595952i</v>
      </c>
      <c r="H17" s="24" t="str">
        <f t="shared" si="8"/>
        <v>5,65801868700086+1,95868920455645i</v>
      </c>
      <c r="I17" s="24" t="str">
        <f t="shared" si="9"/>
        <v>5,5637158572976+2,24159013890649i</v>
      </c>
      <c r="J17" s="24" t="str">
        <f t="shared" si="10"/>
        <v>5,5495708105801+2,23687499742133i</v>
      </c>
      <c r="K17" s="24" t="str">
        <f t="shared" si="11"/>
        <v>5,44035381556653+2,51364628561446i</v>
      </c>
      <c r="L17" s="25"/>
      <c r="M17" s="24">
        <f t="shared" si="1"/>
        <v>1.4500000000000002</v>
      </c>
      <c r="N17" s="24">
        <f t="shared" si="2"/>
        <v>1.5000000000000002</v>
      </c>
      <c r="O17" s="24" t="str">
        <f t="shared" si="3"/>
        <v>2,24159013890649-5,06735936177881i</v>
      </c>
      <c r="P17" s="24" t="str">
        <f t="shared" si="4"/>
        <v>2,23687499742133-5,05321431506131i</v>
      </c>
      <c r="Q17" s="37" t="str">
        <f t="shared" si="5"/>
        <v>2,51364628561446-4,9416063222645i</v>
      </c>
      <c r="R17" s="36"/>
    </row>
    <row r="18" spans="4:18" x14ac:dyDescent="0.45">
      <c r="D18" s="27">
        <v>15</v>
      </c>
      <c r="E18" s="26">
        <f t="shared" si="6"/>
        <v>1.5</v>
      </c>
      <c r="F18" s="24" t="str">
        <f t="shared" si="7"/>
        <v>2,5141049685285-4,94147272595952i</v>
      </c>
      <c r="G18" s="24" t="str">
        <f t="shared" si="0"/>
        <v>3,04475375670359-4,66329899846006i</v>
      </c>
      <c r="H18" s="24" t="str">
        <f t="shared" si="8"/>
        <v>5,44022021926155+2,5141049685285i</v>
      </c>
      <c r="I18" s="24" t="str">
        <f t="shared" si="9"/>
        <v>5,31565935962777+2,78611597949158i</v>
      </c>
      <c r="J18" s="24" t="str">
        <f t="shared" si="10"/>
        <v>5,30205880907962+2,77988793650989i</v>
      </c>
      <c r="K18" s="24" t="str">
        <f t="shared" si="11"/>
        <v>5,16327073382928+3,04431084943646i</v>
      </c>
      <c r="L18" s="25"/>
      <c r="M18" s="24">
        <f t="shared" si="1"/>
        <v>1.55</v>
      </c>
      <c r="N18" s="24">
        <f t="shared" si="2"/>
        <v>1.6</v>
      </c>
      <c r="O18" s="24" t="str">
        <f t="shared" si="3"/>
        <v>2,78611597949158-4,81576747753309i</v>
      </c>
      <c r="P18" s="24" t="str">
        <f t="shared" si="4"/>
        <v>2,77988793650989-4,80216692698494i</v>
      </c>
      <c r="Q18" s="37" t="str">
        <f t="shared" si="5"/>
        <v>3,04431084943646-4,66348393230853i</v>
      </c>
      <c r="R18" s="36"/>
    </row>
    <row r="19" spans="4:18" x14ac:dyDescent="0.45">
      <c r="D19" s="27">
        <v>16</v>
      </c>
      <c r="E19" s="26">
        <f t="shared" si="6"/>
        <v>1.6</v>
      </c>
      <c r="F19" s="24" t="str">
        <f t="shared" si="7"/>
        <v>3,04475375670359-4,66329899846006i</v>
      </c>
      <c r="G19" s="24" t="str">
        <f t="shared" si="0"/>
        <v>3,54483466052492-4,33354167989773i</v>
      </c>
      <c r="H19" s="24" t="str">
        <f t="shared" si="8"/>
        <v>5,16308579998081+3,04475375670359i</v>
      </c>
      <c r="I19" s="24" t="str">
        <f t="shared" si="9"/>
        <v>5,00949382485184+3,30290804670263i</v>
      </c>
      <c r="J19" s="24" t="str">
        <f t="shared" si="10"/>
        <v>4,99658611035189+3,29522844794618i</v>
      </c>
      <c r="K19" s="24" t="str">
        <f t="shared" si="11"/>
        <v>4,82960855889167+3,54441236773878i</v>
      </c>
      <c r="L19" s="25"/>
      <c r="M19" s="24">
        <f t="shared" si="1"/>
        <v>1.6500000000000001</v>
      </c>
      <c r="N19" s="24">
        <f t="shared" si="2"/>
        <v>1.7000000000000002</v>
      </c>
      <c r="O19" s="24" t="str">
        <f t="shared" si="3"/>
        <v>3,30290804670263-4,51106131062488i</v>
      </c>
      <c r="P19" s="24" t="str">
        <f t="shared" si="4"/>
        <v>3,29522844794618-4,49815359612493i</v>
      </c>
      <c r="Q19" s="37" t="str">
        <f t="shared" si="5"/>
        <v>3,54441236773878-4,33377615366544i</v>
      </c>
      <c r="R19" s="36"/>
    </row>
    <row r="20" spans="4:18" x14ac:dyDescent="0.45">
      <c r="D20" s="27">
        <v>17</v>
      </c>
      <c r="E20" s="26">
        <f t="shared" si="6"/>
        <v>1.7000000000000002</v>
      </c>
      <c r="F20" s="24" t="str">
        <f t="shared" si="7"/>
        <v>3,54483466052492-4,33354167989773i</v>
      </c>
      <c r="G20" s="24" t="str">
        <f t="shared" si="0"/>
        <v>4,00885365153517-3,95553506969436i</v>
      </c>
      <c r="H20" s="24" t="str">
        <f t="shared" si="8"/>
        <v>4,82937408512396+3,54483466052492i</v>
      </c>
      <c r="I20" s="24" t="str">
        <f t="shared" si="9"/>
        <v>4,64829292030845+3,78630336478112i</v>
      </c>
      <c r="J20" s="24" t="str">
        <f t="shared" si="10"/>
        <v>4,63621948509564+3,77724930654034i</v>
      </c>
      <c r="K20" s="24" t="str">
        <f t="shared" si="11"/>
        <v>4,4427405646828+4,00845660903448i</v>
      </c>
      <c r="L20" s="25"/>
      <c r="M20" s="24">
        <f t="shared" si="1"/>
        <v>1.7500000000000002</v>
      </c>
      <c r="N20" s="24">
        <f t="shared" si="2"/>
        <v>1.8000000000000003</v>
      </c>
      <c r="O20" s="24" t="str">
        <f t="shared" si="3"/>
        <v>3,78630336478112-4,15629994687148i</v>
      </c>
      <c r="P20" s="24" t="str">
        <f t="shared" si="4"/>
        <v>3,77724930654034-4,14422651165867i</v>
      </c>
      <c r="Q20" s="37" t="str">
        <f t="shared" si="5"/>
        <v>4,00845660903448-3,9558167492437i</v>
      </c>
      <c r="R20" s="36"/>
    </row>
    <row r="21" spans="4:18" x14ac:dyDescent="0.45">
      <c r="D21" s="27">
        <v>18</v>
      </c>
      <c r="E21" s="26">
        <f t="shared" si="6"/>
        <v>1.8</v>
      </c>
      <c r="F21" s="24" t="str">
        <f t="shared" si="7"/>
        <v>4,00885365153517-3,95553506969436i</v>
      </c>
      <c r="G21" s="24" t="str">
        <f t="shared" si="0"/>
        <v>4,43168344559468-3,53314501668229i</v>
      </c>
      <c r="H21" s="24" t="str">
        <f t="shared" si="8"/>
        <v>4,44245888513346+4,00885365153517i</v>
      </c>
      <c r="I21" s="24" t="str">
        <f t="shared" si="9"/>
        <v>4,23572998860525+4,23097659579184i</v>
      </c>
      <c r="J21" s="24" t="str">
        <f t="shared" si="10"/>
        <v>4,22462384139242+4,22064015096543i</v>
      </c>
      <c r="K21" s="24" t="str">
        <f t="shared" si="11"/>
        <v>4,00662109844153+4,43131603567441i</v>
      </c>
      <c r="L21" s="25"/>
      <c r="M21" s="24">
        <f t="shared" si="1"/>
        <v>1.85</v>
      </c>
      <c r="N21" s="24">
        <f t="shared" si="2"/>
        <v>1.9000000000000001</v>
      </c>
      <c r="O21" s="24" t="str">
        <f t="shared" si="3"/>
        <v>4,23097659579184-3,7550923871176i</v>
      </c>
      <c r="P21" s="24" t="str">
        <f t="shared" si="4"/>
        <v>4,22064015096543-3,74398623990477i</v>
      </c>
      <c r="Q21" s="37" t="str">
        <f t="shared" si="5"/>
        <v>4,43131603567441-3,53347105459782i</v>
      </c>
      <c r="R21" s="36"/>
    </row>
    <row r="22" spans="4:18" x14ac:dyDescent="0.45">
      <c r="D22" s="27">
        <v>19</v>
      </c>
      <c r="E22" s="26">
        <f t="shared" si="6"/>
        <v>1.9000000000000001</v>
      </c>
      <c r="F22" s="24" t="str">
        <f t="shared" si="7"/>
        <v>4,43168344559468-3,53314501668229i</v>
      </c>
      <c r="G22" s="24" t="str">
        <f t="shared" si="0"/>
        <v>4,80861963850914-3,07072940424501i</v>
      </c>
      <c r="H22" s="24" t="str">
        <f t="shared" si="8"/>
        <v>4,006295060526+4,43168344559468i</v>
      </c>
      <c r="I22" s="24" t="str">
        <f t="shared" si="9"/>
        <v>3,77604070190449+4,63199819862098i</v>
      </c>
      <c r="J22" s="24" t="str">
        <f t="shared" si="10"/>
        <v>3,76602496425317+4,62048548068991i</v>
      </c>
      <c r="K22" s="24" t="str">
        <f t="shared" si="11"/>
        <v>3,52574518202614+4,80828594202i</v>
      </c>
      <c r="L22" s="25"/>
      <c r="M22" s="24">
        <f t="shared" si="1"/>
        <v>1.9500000000000002</v>
      </c>
      <c r="N22" s="24">
        <f t="shared" si="2"/>
        <v>2</v>
      </c>
      <c r="O22" s="24" t="str">
        <f t="shared" si="3"/>
        <v>4,63199819862098-3,31156084440256i</v>
      </c>
      <c r="P22" s="24" t="str">
        <f t="shared" si="4"/>
        <v>4,62048548068991-3,30154510675124i</v>
      </c>
      <c r="Q22" s="37" t="str">
        <f t="shared" si="5"/>
        <v>4,80828594202-3,0710964686133i</v>
      </c>
      <c r="R22" s="36"/>
    </row>
    <row r="23" spans="4:18" x14ac:dyDescent="0.45">
      <c r="D23" s="27">
        <v>20</v>
      </c>
      <c r="E23" s="26">
        <f t="shared" si="6"/>
        <v>2</v>
      </c>
      <c r="F23" s="24" t="str">
        <f t="shared" si="7"/>
        <v>4,80861963850914-3,07072940424501i</v>
      </c>
      <c r="G23" s="24" t="str">
        <f t="shared" si="0"/>
        <v>5,13543250316414-2,57309323391804i</v>
      </c>
      <c r="H23" s="24" t="str">
        <f t="shared" si="8"/>
        <v>3,52537811765785+4,80861963850914i</v>
      </c>
      <c r="I23" s="24" t="str">
        <f t="shared" si="9"/>
        <v>3,27397960663624+4,98488854439203i</v>
      </c>
      <c r="J23" s="24" t="str">
        <f t="shared" si="10"/>
        <v>3,2651661613421+4,97231861884095i</v>
      </c>
      <c r="K23" s="24" t="str">
        <f t="shared" si="11"/>
        <v>3,00510222568535+5,13513625464335i</v>
      </c>
      <c r="L23" s="25"/>
      <c r="M23" s="24">
        <f t="shared" si="1"/>
        <v>2.0499999999999998</v>
      </c>
      <c r="N23" s="24">
        <f t="shared" si="2"/>
        <v>2.1</v>
      </c>
      <c r="O23" s="24" t="str">
        <f t="shared" si="3"/>
        <v>4,98488854439203-2,83029842231955i</v>
      </c>
      <c r="P23" s="24" t="str">
        <f t="shared" si="4"/>
        <v>4,97231861884095-2,82148497702541i</v>
      </c>
      <c r="Q23" s="37" t="str">
        <f t="shared" si="5"/>
        <v>5,13513625464335-2,57349754236091i</v>
      </c>
      <c r="R23" s="36"/>
    </row>
    <row r="24" spans="4:18" x14ac:dyDescent="0.45">
      <c r="D24" s="27">
        <v>21</v>
      </c>
      <c r="E24" s="26">
        <f t="shared" si="6"/>
        <v>2.1</v>
      </c>
      <c r="F24" s="24" t="str">
        <f t="shared" si="7"/>
        <v>5,13543250316414-2,57309323391804i</v>
      </c>
      <c r="G24" s="24" t="str">
        <f t="shared" si="0"/>
        <v>5,40841388274386-2,04543876996701i</v>
      </c>
      <c r="H24" s="24" t="str">
        <f t="shared" si="8"/>
        <v>3,00469791724248+5,13543250316414i</v>
      </c>
      <c r="I24" s="24" t="str">
        <f t="shared" si="9"/>
        <v>2,73477100415908+5,28566739902626i</v>
      </c>
      <c r="J24" s="24" t="str">
        <f t="shared" si="10"/>
        <v>2,72725925936598+5,27217105337209i</v>
      </c>
      <c r="K24" s="24" t="str">
        <f t="shared" si="11"/>
        <v>2,45012433049062+5,40815842910074i</v>
      </c>
      <c r="L24" s="25"/>
      <c r="M24" s="24">
        <f t="shared" si="1"/>
        <v>2.15</v>
      </c>
      <c r="N24" s="24">
        <f t="shared" si="2"/>
        <v>2.2000000000000002</v>
      </c>
      <c r="O24" s="24" t="str">
        <f t="shared" si="3"/>
        <v>5,28566739902626-2,31632160875983i</v>
      </c>
      <c r="P24" s="24" t="str">
        <f t="shared" si="4"/>
        <v>5,27217105337209-2,30880986396673i</v>
      </c>
      <c r="Q24" s="37" t="str">
        <f t="shared" si="5"/>
        <v>5,40815842910074-2,04587612858083i</v>
      </c>
      <c r="R24" s="36"/>
    </row>
    <row r="25" spans="4:18" x14ac:dyDescent="0.45">
      <c r="D25" s="27">
        <v>22</v>
      </c>
      <c r="E25" s="26">
        <f t="shared" si="6"/>
        <v>2.2000000000000002</v>
      </c>
      <c r="F25" s="24" t="str">
        <f t="shared" si="7"/>
        <v>5,40841388274386-2,04543876996701i</v>
      </c>
      <c r="G25" s="24" t="str">
        <f t="shared" si="0"/>
        <v>5,62441866521923-1,49331126152097i</v>
      </c>
      <c r="H25" s="24" t="str">
        <f t="shared" si="8"/>
        <v>2,44968697187681+5,40841388274386i</v>
      </c>
      <c r="I25" s="24" t="str">
        <f t="shared" si="9"/>
        <v>2,16405467427378+5,5308982313377i</v>
      </c>
      <c r="J25" s="24" t="str">
        <f t="shared" si="10"/>
        <v>2,15793045684409+5,51661661645755i</v>
      </c>
      <c r="K25" s="24" t="str">
        <f t="shared" si="11"/>
        <v>1,86662971440961+5,62420692842827i</v>
      </c>
      <c r="L25" s="25"/>
      <c r="M25" s="24">
        <f t="shared" si="1"/>
        <v>2.25</v>
      </c>
      <c r="N25" s="24">
        <f t="shared" si="2"/>
        <v>2.3000000000000003</v>
      </c>
      <c r="O25" s="24" t="str">
        <f t="shared" si="3"/>
        <v>5,5308982313377-1,77501807582982i</v>
      </c>
      <c r="P25" s="24" t="str">
        <f t="shared" si="4"/>
        <v>5,51661661645755-1,76889385840013i</v>
      </c>
      <c r="Q25" s="37" t="str">
        <f t="shared" si="5"/>
        <v>5,62420692842827-1,49377710832125i</v>
      </c>
      <c r="R25" s="36"/>
    </row>
    <row r="26" spans="4:18" x14ac:dyDescent="0.45">
      <c r="D26" s="27">
        <v>23</v>
      </c>
      <c r="E26" s="26">
        <f t="shared" si="6"/>
        <v>2.3000000000000003</v>
      </c>
      <c r="F26" s="24" t="str">
        <f t="shared" si="7"/>
        <v>5,62441866521923-1,49331126152097i</v>
      </c>
      <c r="G26" s="24" t="str">
        <f t="shared" si="0"/>
        <v>5,78090038050497-0,922540807553628i</v>
      </c>
      <c r="H26" s="24" t="str">
        <f t="shared" si="8"/>
        <v>1,86616386760933+5,62441866521923i</v>
      </c>
      <c r="I26" s="24" t="str">
        <f t="shared" si="9"/>
        <v>1,56782700465543+5,7177268585997i</v>
      </c>
      <c r="J26" s="24" t="str">
        <f t="shared" si="10"/>
        <v>1,56316159498641+5,702810015452i</v>
      </c>
      <c r="K26" s="24" t="str">
        <f t="shared" si="11"/>
        <v>1,26076185025135+5,78073482471787i</v>
      </c>
      <c r="L26" s="25"/>
      <c r="M26" s="24">
        <f t="shared" si="1"/>
        <v>2.35</v>
      </c>
      <c r="N26" s="24">
        <f t="shared" si="2"/>
        <v>2.4000000000000004</v>
      </c>
      <c r="O26" s="24" t="str">
        <f t="shared" si="3"/>
        <v>5,7177268585997-1,21209032826001i</v>
      </c>
      <c r="P26" s="24" t="str">
        <f t="shared" si="4"/>
        <v>5,702810015452-1,20742491859099i</v>
      </c>
      <c r="Q26" s="37" t="str">
        <f t="shared" si="5"/>
        <v>5,78073482471787-0,92303025997577i</v>
      </c>
      <c r="R26" s="36"/>
    </row>
    <row r="27" spans="4:18" x14ac:dyDescent="0.45">
      <c r="D27" s="27">
        <v>24</v>
      </c>
      <c r="E27" s="26">
        <f t="shared" si="6"/>
        <v>2.4000000000000004</v>
      </c>
      <c r="F27" s="24" t="str">
        <f t="shared" si="7"/>
        <v>5,78090038050497-0,922540807553628i</v>
      </c>
      <c r="G27" s="24" t="str">
        <f t="shared" si="0"/>
        <v>5,87594052292297-0,339180972843088i</v>
      </c>
      <c r="H27" s="24" t="str">
        <f t="shared" si="8"/>
        <v>1,2602723978292+5,78090038050497i</v>
      </c>
      <c r="I27" s="24" t="str">
        <f t="shared" si="9"/>
        <v>0,952378139595632+5,84391400039643i</v>
      </c>
      <c r="J27" s="24" t="str">
        <f t="shared" si="10"/>
        <v>0,949227458601058+5,82851928748475i</v>
      </c>
      <c r="K27" s="24" t="str">
        <f t="shared" si="11"/>
        <v>0,638924950857131+5,87582312636508i</v>
      </c>
      <c r="L27" s="25"/>
      <c r="M27" s="24">
        <f t="shared" si="1"/>
        <v>2.4500000000000002</v>
      </c>
      <c r="N27" s="24">
        <f t="shared" si="2"/>
        <v>2.5000000000000004</v>
      </c>
      <c r="O27" s="24" t="str">
        <f t="shared" si="3"/>
        <v>5,84391400039643-0,63349578852838i</v>
      </c>
      <c r="P27" s="24" t="str">
        <f t="shared" si="4"/>
        <v>5,82851928748475-0,630345107533806i</v>
      </c>
      <c r="Q27" s="37" t="str">
        <f t="shared" si="5"/>
        <v>5,87582312636508-0,339688878805153i</v>
      </c>
      <c r="R27" s="36"/>
    </row>
    <row r="28" spans="4:18" x14ac:dyDescent="0.45">
      <c r="D28" s="27">
        <v>25</v>
      </c>
      <c r="E28" s="26">
        <f t="shared" si="6"/>
        <v>2.5</v>
      </c>
      <c r="F28" s="24" t="str">
        <f t="shared" si="7"/>
        <v>5,87594052292297-0,339180972843088i</v>
      </c>
      <c r="G28" s="24" t="str">
        <f t="shared" si="0"/>
        <v>5,90827126723423+0,250555200470989i</v>
      </c>
      <c r="H28" s="24" t="str">
        <f t="shared" si="8"/>
        <v>0,638417044895066+5,87594052292297i</v>
      </c>
      <c r="I28" s="24" t="str">
        <f t="shared" si="9"/>
        <v>0,324225805392649+5,90786137516772i</v>
      </c>
      <c r="J28" s="24" t="str">
        <f t="shared" si="10"/>
        <v>0,322629762780411+5,8921518131926i</v>
      </c>
      <c r="K28" s="24" t="str">
        <f t="shared" si="11"/>
        <v>0,00771647743456005+5,90820349920101i</v>
      </c>
      <c r="L28" s="25"/>
      <c r="M28" s="24">
        <f t="shared" si="1"/>
        <v>2.5499999999999998</v>
      </c>
      <c r="N28" s="24">
        <f t="shared" si="2"/>
        <v>2.6</v>
      </c>
      <c r="O28" s="24" t="str">
        <f t="shared" si="3"/>
        <v>5,90786137516772-0,04538394669694i</v>
      </c>
      <c r="P28" s="24" t="str">
        <f t="shared" si="4"/>
        <v>5,8921518131926-0,043787904084702i</v>
      </c>
      <c r="Q28" s="37" t="str">
        <f t="shared" si="5"/>
        <v>5,90820349920101+0,250034208476172i</v>
      </c>
      <c r="R28" s="36"/>
    </row>
    <row r="29" spans="4:18" x14ac:dyDescent="0.45">
      <c r="D29" s="27">
        <v>26</v>
      </c>
      <c r="E29" s="26">
        <f t="shared" si="6"/>
        <v>2.6</v>
      </c>
      <c r="F29" s="24" t="str">
        <f t="shared" si="7"/>
        <v>5,90827126723423+0,250555200470989i</v>
      </c>
      <c r="G29" s="24" t="str">
        <f t="shared" si="0"/>
        <v>5,8772913158284+0,840361111378329i</v>
      </c>
      <c r="H29" s="24" t="str">
        <f t="shared" si="8"/>
        <v>0,00719548543974308+5,90827126723423i</v>
      </c>
      <c r="I29" s="24" t="str">
        <f t="shared" si="9"/>
        <v>-0,30995349318776+5,90863104150622i</v>
      </c>
      <c r="J29" s="24" t="str">
        <f t="shared" si="10"/>
        <v>-0,309971481901359+5,89277359257484i</v>
      </c>
      <c r="K29" s="24" t="str">
        <f t="shared" si="11"/>
        <v>-0,626142619611558+5,87727411904409i</v>
      </c>
      <c r="L29" s="25"/>
      <c r="M29" s="24">
        <f t="shared" si="1"/>
        <v>2.65</v>
      </c>
      <c r="N29" s="24">
        <f t="shared" si="2"/>
        <v>2.7</v>
      </c>
      <c r="O29" s="24" t="str">
        <f t="shared" si="3"/>
        <v>5,90863104150622+0,545968763832701i</v>
      </c>
      <c r="P29" s="24" t="str">
        <f t="shared" si="4"/>
        <v>5,89277359257484+0,5459867525463i</v>
      </c>
      <c r="Q29" s="37" t="str">
        <f t="shared" si="5"/>
        <v>5,87727411904409+0,839832559728473i</v>
      </c>
      <c r="R29" s="36"/>
    </row>
    <row r="30" spans="4:18" x14ac:dyDescent="0.45">
      <c r="D30" s="27">
        <v>27</v>
      </c>
      <c r="E30" s="26">
        <f t="shared" si="6"/>
        <v>2.7</v>
      </c>
      <c r="F30" s="24" t="str">
        <f t="shared" si="7"/>
        <v>5,8772913158284+0,840361111378329i</v>
      </c>
      <c r="G30" s="24" t="str">
        <f t="shared" si="0"/>
        <v>5,78307468696245+1,42390375153514i</v>
      </c>
      <c r="H30" s="24" t="str">
        <f t="shared" si="8"/>
        <v>-0,626671171261414+5,8772913158284i</v>
      </c>
      <c r="I30" s="24" t="str">
        <f t="shared" si="9"/>
        <v>-0,943395181143584+5,84595775726533i</v>
      </c>
      <c r="J30" s="24" t="str">
        <f t="shared" si="10"/>
        <v>-0,941828503215424+5,83012155677122i</v>
      </c>
      <c r="K30" s="24" t="str">
        <f t="shared" si="11"/>
        <v>-1,2558791919775+5,78310846550686i</v>
      </c>
      <c r="L30" s="25"/>
      <c r="M30" s="24">
        <f t="shared" si="1"/>
        <v>2.75</v>
      </c>
      <c r="N30" s="24">
        <f t="shared" si="2"/>
        <v>2.8000000000000003</v>
      </c>
      <c r="O30" s="24" t="str">
        <f t="shared" si="3"/>
        <v>5,84595775726533+1,13422567716975i</v>
      </c>
      <c r="P30" s="24" t="str">
        <f t="shared" si="4"/>
        <v>5,83012155677122+1,13265899924159i</v>
      </c>
      <c r="Q30" s="37" t="str">
        <f t="shared" si="5"/>
        <v>5,78310846550686+1,42337326705545i</v>
      </c>
      <c r="R30" s="36"/>
    </row>
    <row r="31" spans="4:18" x14ac:dyDescent="0.45">
      <c r="D31" s="27">
        <v>28</v>
      </c>
      <c r="E31" s="26">
        <f t="shared" si="6"/>
        <v>2.8000000000000003</v>
      </c>
      <c r="F31" s="24" t="str">
        <f t="shared" si="7"/>
        <v>5,78307468696245+1,42390375153514i</v>
      </c>
      <c r="G31" s="24" t="str">
        <f t="shared" si="0"/>
        <v>5,62637232845997+1,99489137754524i</v>
      </c>
      <c r="H31" s="24" t="str">
        <f t="shared" si="8"/>
        <v>-1,25640967645719+5,78307468696245i</v>
      </c>
      <c r="I31" s="24" t="str">
        <f t="shared" si="9"/>
        <v>-1,56931847971199+5,72025420313959i</v>
      </c>
      <c r="J31" s="24" t="str">
        <f t="shared" si="10"/>
        <v>-1,56617745552085+5,70460876297685i</v>
      </c>
      <c r="K31" s="24" t="str">
        <f t="shared" si="11"/>
        <v>-1,87473996322584+5,62645694141036i</v>
      </c>
      <c r="L31" s="25"/>
      <c r="M31" s="24">
        <f t="shared" si="1"/>
        <v>2.85</v>
      </c>
      <c r="N31" s="24">
        <f t="shared" si="2"/>
        <v>2.9000000000000004</v>
      </c>
      <c r="O31" s="24" t="str">
        <f t="shared" si="3"/>
        <v>5,72025420313959+1,71305748588326i</v>
      </c>
      <c r="P31" s="24" t="str">
        <f t="shared" si="4"/>
        <v>5,70460876297685+1,70991646169212i</v>
      </c>
      <c r="Q31" s="37" t="str">
        <f t="shared" si="5"/>
        <v>5,62645694141036+1,99436462783283i</v>
      </c>
      <c r="R31" s="36"/>
    </row>
    <row r="32" spans="4:18" x14ac:dyDescent="0.45">
      <c r="D32" s="27">
        <v>29</v>
      </c>
      <c r="E32" s="26">
        <f t="shared" si="6"/>
        <v>2.9000000000000004</v>
      </c>
      <c r="F32" s="24" t="str">
        <f t="shared" si="7"/>
        <v>5,62637232845997+1,99489137754524i</v>
      </c>
      <c r="G32" s="24" t="str">
        <f t="shared" si="0"/>
        <v>5,4086065172344+2,54714098391335i</v>
      </c>
      <c r="H32" s="24" t="str">
        <f t="shared" si="8"/>
        <v>-1,87526671293825+5,62637232845997i</v>
      </c>
      <c r="I32" s="24" t="str">
        <f t="shared" si="9"/>
        <v>-2,18099867028773+5,53260899281306i</v>
      </c>
      <c r="J32" s="24" t="str">
        <f t="shared" si="10"/>
        <v>-2,17631050350538+5,51732239494558i</v>
      </c>
      <c r="K32" s="24" t="str">
        <f t="shared" si="11"/>
        <v>-2,47606361300987+5,40874127810943i</v>
      </c>
      <c r="L32" s="25"/>
      <c r="M32" s="24">
        <f t="shared" si="1"/>
        <v>2.95</v>
      </c>
      <c r="N32" s="24">
        <f t="shared" si="2"/>
        <v>3.0000000000000004</v>
      </c>
      <c r="O32" s="24" t="str">
        <f t="shared" si="3"/>
        <v>5,53260899281306+2,27620999396824i</v>
      </c>
      <c r="P32" s="24" t="str">
        <f t="shared" si="4"/>
        <v>5,51732239494558+2,27152182718589i</v>
      </c>
      <c r="Q32" s="37" t="str">
        <f t="shared" si="5"/>
        <v>5,40874127810943+2,5466236170398i</v>
      </c>
      <c r="R32" s="36"/>
    </row>
    <row r="33" spans="4:18" x14ac:dyDescent="0.45">
      <c r="D33" s="27">
        <v>30</v>
      </c>
      <c r="E33" s="26">
        <f t="shared" si="6"/>
        <v>3</v>
      </c>
      <c r="F33" s="24" t="str">
        <f t="shared" si="7"/>
        <v>5,4086065172344+2,54714098391335i</v>
      </c>
      <c r="G33" s="24" t="str">
        <f t="shared" si="0"/>
        <v>5,13185808158279+3,07464485646221i</v>
      </c>
      <c r="H33" s="24" t="str">
        <f t="shared" si="8"/>
        <v>-2,47658097988342+5,4086065172344i</v>
      </c>
      <c r="I33" s="24" t="str">
        <f t="shared" si="9"/>
        <v>-2,77183898865885+5,28477746824023i</v>
      </c>
      <c r="J33" s="24" t="str">
        <f t="shared" si="10"/>
        <v>-2,76564753620914+5,27001456780146i</v>
      </c>
      <c r="K33" s="24" t="str">
        <f t="shared" si="11"/>
        <v>-3,05335210947685+5,13204176361349i</v>
      </c>
      <c r="L33" s="25"/>
      <c r="M33" s="24">
        <f t="shared" si="1"/>
        <v>3.05</v>
      </c>
      <c r="N33" s="24">
        <f t="shared" si="2"/>
        <v>3.1</v>
      </c>
      <c r="O33" s="24" t="str">
        <f t="shared" si="3"/>
        <v>5,28477746824023+2,81757130977507i</v>
      </c>
      <c r="P33" s="24" t="str">
        <f t="shared" si="4"/>
        <v>5,27001456780146+2,81137985732536i</v>
      </c>
      <c r="Q33" s="37" t="str">
        <f t="shared" si="5"/>
        <v>5,13204176361349+3,0741424406935i</v>
      </c>
      <c r="R33" s="36"/>
    </row>
    <row r="34" spans="4:18" x14ac:dyDescent="0.45">
      <c r="D34" s="27">
        <v>31</v>
      </c>
      <c r="E34" s="26">
        <f t="shared" si="6"/>
        <v>3.1</v>
      </c>
      <c r="F34" s="24" t="str">
        <f t="shared" si="7"/>
        <v>5,13185808158279+3,07464485646221i</v>
      </c>
      <c r="G34" s="24" t="str">
        <f t="shared" si="0"/>
        <v>4,79884655960059+3,57163549352485i</v>
      </c>
      <c r="H34" s="24" t="str">
        <f t="shared" si="8"/>
        <v>-3,05385452524557+5,13185808158279i</v>
      </c>
      <c r="I34" s="24" t="str">
        <f t="shared" si="9"/>
        <v>-3,33544138422492+4,97916535532051i</v>
      </c>
      <c r="J34" s="24" t="str">
        <f t="shared" si="10"/>
        <v>-3,32780674791181+4,96508601237154i</v>
      </c>
      <c r="K34" s="24" t="str">
        <f t="shared" si="11"/>
        <v>-3,60034052941315+4,79907740679161i</v>
      </c>
      <c r="L34" s="25"/>
      <c r="M34" s="24">
        <f t="shared" si="1"/>
        <v>3.15</v>
      </c>
      <c r="N34" s="24">
        <f t="shared" si="2"/>
        <v>3.2</v>
      </c>
      <c r="O34" s="24" t="str">
        <f t="shared" si="3"/>
        <v>4,97916535532051+3,33123776054135i</v>
      </c>
      <c r="P34" s="24" t="str">
        <f t="shared" si="4"/>
        <v>4,96508601237154+3,32360312422824i</v>
      </c>
      <c r="Q34" s="37" t="str">
        <f t="shared" si="5"/>
        <v>4,79907740679161+3,57115345769936i</v>
      </c>
      <c r="R34" s="36"/>
    </row>
    <row r="35" spans="4:18" x14ac:dyDescent="0.45">
      <c r="D35" s="27">
        <v>32</v>
      </c>
      <c r="E35" s="26">
        <f t="shared" si="6"/>
        <v>3.2</v>
      </c>
      <c r="F35" s="24" t="str">
        <f t="shared" si="7"/>
        <v>4,79884655960059+3,57163549352485i</v>
      </c>
      <c r="G35" s="24" t="str">
        <f t="shared" ref="G35:G66" si="12">IMSUM(F35,IMPRODUCT((IMSUM(H35,IMPRODUCT(2,I35),IMPRODUCT(2,J35),K35)),$B$4/6))</f>
        <v>4,41290348248218+4,03264819734097i</v>
      </c>
      <c r="H35" s="24" t="str">
        <f t="shared" si="8"/>
        <v>-3,60082256523864+4,79884655960059i</v>
      </c>
      <c r="I35" s="24" t="str">
        <f t="shared" si="9"/>
        <v>-3,86567538876993+4,61880543133866i</v>
      </c>
      <c r="J35" s="24" t="str">
        <f t="shared" si="10"/>
        <v>-3,85667333235683+4,60556279016209i</v>
      </c>
      <c r="K35" s="24" t="str">
        <f t="shared" si="11"/>
        <v>-4,11106461961268+4,41317922636491i</v>
      </c>
      <c r="L35" s="25"/>
      <c r="M35" s="24">
        <f t="shared" ref="M35:M66" si="13">E35+(1/2)*$B$4</f>
        <v>3.25</v>
      </c>
      <c r="N35" s="24">
        <f t="shared" ref="N35:N66" si="14">E35+$B$4</f>
        <v>3.3000000000000003</v>
      </c>
      <c r="O35" s="24" t="str">
        <f t="shared" ref="O35:O66" si="15">IMSUM(F35,IMPRODUCT(1/2,H35,$B$4))</f>
        <v>4,61880543133866+3,81157782150488i</v>
      </c>
      <c r="P35" s="24" t="str">
        <f t="shared" ref="P35:P66" si="16">IMSUM(F35,IMPRODUCT(1/2,I35,$B$4))</f>
        <v>4,60556279016209+3,80257576509178i</v>
      </c>
      <c r="Q35" s="37" t="str">
        <f t="shared" ref="Q35:Q66" si="17">IMSUM(F35,IMPRODUCT(J35,$B$4))</f>
        <v>4,41317922636491+4,03219177254106i</v>
      </c>
      <c r="R35" s="36"/>
    </row>
    <row r="36" spans="4:18" x14ac:dyDescent="0.45">
      <c r="D36" s="27">
        <v>33</v>
      </c>
      <c r="E36" s="26">
        <f t="shared" ref="E36:E67" si="18">D36*$B$4+$B$3</f>
        <v>3.3000000000000003</v>
      </c>
      <c r="F36" s="24" t="str">
        <f t="shared" ref="F36:F67" si="19">G35</f>
        <v>4,41290348248218+4,03264819734097i</v>
      </c>
      <c r="G36" s="24" t="str">
        <f t="shared" si="12"/>
        <v>3,97793904509528+4,45258066066185i</v>
      </c>
      <c r="H36" s="24" t="str">
        <f t="shared" si="8"/>
        <v>-4,11152104441259+4,41290348248218i</v>
      </c>
      <c r="I36" s="24" t="str">
        <f t="shared" si="9"/>
        <v>-4,35674435730178+4,20732743026155i</v>
      </c>
      <c r="J36" s="24" t="str">
        <f t="shared" si="10"/>
        <v>-4,34646555469075+4,19506626461709i</v>
      </c>
      <c r="K36" s="24" t="str">
        <f t="shared" si="11"/>
        <v>-4,5799253748161+3,9782569270131i</v>
      </c>
      <c r="L36" s="25"/>
      <c r="M36" s="24">
        <f t="shared" si="13"/>
        <v>3.35</v>
      </c>
      <c r="N36" s="24">
        <f t="shared" si="14"/>
        <v>3.4000000000000004</v>
      </c>
      <c r="O36" s="24" t="str">
        <f t="shared" si="15"/>
        <v>4,20732743026155+4,25329337146508i</v>
      </c>
      <c r="P36" s="24" t="str">
        <f t="shared" si="16"/>
        <v>4,19506626461709+4,24301456885405i</v>
      </c>
      <c r="Q36" s="37" t="str">
        <f t="shared" si="17"/>
        <v>3,9782569270131+4,45215482380268i</v>
      </c>
      <c r="R36" s="36"/>
    </row>
    <row r="37" spans="4:18" x14ac:dyDescent="0.45">
      <c r="D37" s="27">
        <v>34</v>
      </c>
      <c r="E37" s="26">
        <f t="shared" si="18"/>
        <v>3.4000000000000004</v>
      </c>
      <c r="F37" s="24" t="str">
        <f t="shared" si="19"/>
        <v>3,97793904509528+4,45258066066185i</v>
      </c>
      <c r="G37" s="24" t="str">
        <f t="shared" si="12"/>
        <v>3,49840249726411+4,8267489033844i</v>
      </c>
      <c r="H37" s="24" t="str">
        <f t="shared" si="8"/>
        <v>-4,58035121167527+3,97793904509528i</v>
      </c>
      <c r="I37" s="24" t="str">
        <f t="shared" si="9"/>
        <v>-4,80324836927082+3,74892148451152i</v>
      </c>
      <c r="J37" s="24" t="str">
        <f t="shared" si="10"/>
        <v>-4,79179749124164+3,73777662663174i</v>
      </c>
      <c r="K37" s="24" t="str">
        <f t="shared" si="11"/>
        <v>-5,00174993716983+3,49875929597112i</v>
      </c>
      <c r="L37" s="25"/>
      <c r="M37" s="24">
        <f t="shared" si="13"/>
        <v>3.45</v>
      </c>
      <c r="N37" s="24">
        <f t="shared" si="14"/>
        <v>3.5000000000000004</v>
      </c>
      <c r="O37" s="24" t="str">
        <f t="shared" si="15"/>
        <v>3,74892148451152+4,65147761291661i</v>
      </c>
      <c r="P37" s="24" t="str">
        <f t="shared" si="16"/>
        <v>3,73777662663174+4,64002673488743i</v>
      </c>
      <c r="Q37" s="37" t="str">
        <f t="shared" si="17"/>
        <v>3,49875929597112+4,82635832332502i</v>
      </c>
      <c r="R37" s="36"/>
    </row>
    <row r="38" spans="4:18" x14ac:dyDescent="0.45">
      <c r="D38" s="27">
        <v>35</v>
      </c>
      <c r="E38" s="26">
        <f t="shared" si="18"/>
        <v>3.5</v>
      </c>
      <c r="F38" s="24" t="str">
        <f t="shared" si="19"/>
        <v>3,49840249726411+4,8267489033844i</v>
      </c>
      <c r="G38" s="24" t="str">
        <f t="shared" si="12"/>
        <v>2,97923665690737+5,15093895079462i</v>
      </c>
      <c r="H38" s="24" t="str">
        <f t="shared" si="8"/>
        <v>-5,00214051722921+3,49840249726411i</v>
      </c>
      <c r="I38" s="24" t="str">
        <f t="shared" si="9"/>
        <v>-5,20024311189059+3,24829547140265i</v>
      </c>
      <c r="J38" s="24" t="str">
        <f t="shared" si="10"/>
        <v>-5,18773776059751+3,23839034166958i</v>
      </c>
      <c r="K38" s="24" t="str">
        <f t="shared" si="11"/>
        <v>-5,37184815919879+2,97962872120436i</v>
      </c>
      <c r="L38" s="25"/>
      <c r="M38" s="24">
        <f t="shared" si="13"/>
        <v>3.55</v>
      </c>
      <c r="N38" s="24">
        <f t="shared" si="14"/>
        <v>3.6</v>
      </c>
      <c r="O38" s="24" t="str">
        <f t="shared" si="15"/>
        <v>3,24829547140265+5,00166902824761i</v>
      </c>
      <c r="P38" s="24" t="str">
        <f t="shared" si="16"/>
        <v>3,23839034166958+4,98916367695453i</v>
      </c>
      <c r="Q38" s="37" t="str">
        <f t="shared" si="17"/>
        <v>2,97962872120436+5,15058793755136i</v>
      </c>
      <c r="R38" s="36"/>
    </row>
    <row r="39" spans="4:18" x14ac:dyDescent="0.45">
      <c r="D39" s="27">
        <v>36</v>
      </c>
      <c r="E39" s="26">
        <f t="shared" si="18"/>
        <v>3.6</v>
      </c>
      <c r="F39" s="24" t="str">
        <f t="shared" si="19"/>
        <v>2,97923665690737+5,15093895079462i</v>
      </c>
      <c r="G39" s="24" t="str">
        <f t="shared" si="12"/>
        <v>2,42582700982652+5,42145368833461i</v>
      </c>
      <c r="H39" s="24" t="str">
        <f t="shared" si="8"/>
        <v>-5,37219917244205+2,97923665690737i</v>
      </c>
      <c r="I39" s="24" t="str">
        <f t="shared" si="9"/>
        <v>-5,54329410796784+2,71062669828527i</v>
      </c>
      <c r="J39" s="24" t="str">
        <f t="shared" si="10"/>
        <v>-5,52986361003673+2,70207195150898i</v>
      </c>
      <c r="K39" s="24" t="str">
        <f t="shared" si="11"/>
        <v>-5,68606421639977+2,4262502959037i</v>
      </c>
      <c r="L39" s="25"/>
      <c r="M39" s="24">
        <f t="shared" si="13"/>
        <v>3.65</v>
      </c>
      <c r="N39" s="24">
        <f t="shared" si="14"/>
        <v>3.7</v>
      </c>
      <c r="O39" s="24" t="str">
        <f t="shared" si="15"/>
        <v>2,71062669828527+5,29990078363999i</v>
      </c>
      <c r="P39" s="24" t="str">
        <f t="shared" si="16"/>
        <v>2,70207195150898+5,28647028570888i</v>
      </c>
      <c r="Q39" s="37" t="str">
        <f t="shared" si="17"/>
        <v>2,4262502959037+5,42114614594552i</v>
      </c>
      <c r="R39" s="36"/>
    </row>
    <row r="40" spans="4:18" x14ac:dyDescent="0.45">
      <c r="D40" s="27">
        <v>37</v>
      </c>
      <c r="E40" s="26">
        <f t="shared" si="18"/>
        <v>3.7</v>
      </c>
      <c r="F40" s="24" t="str">
        <f t="shared" si="19"/>
        <v>2,42582700982652+5,42145368833461i</v>
      </c>
      <c r="G40" s="24" t="str">
        <f t="shared" si="12"/>
        <v>1,84394591984184+5,63515437727429i</v>
      </c>
      <c r="H40" s="24" t="str">
        <f t="shared" si="8"/>
        <v>-5,68637175878886+2,42582700982652i</v>
      </c>
      <c r="I40" s="24" t="str">
        <f t="shared" si="9"/>
        <v>-5,82852569819711+2,14150842188708i</v>
      </c>
      <c r="J40" s="24" t="str">
        <f t="shared" si="10"/>
        <v>-5,81430976880013+2,13440072491666i</v>
      </c>
      <c r="K40" s="24" t="str">
        <f t="shared" si="11"/>
        <v>-5,94082270629764+1,84439603294651i</v>
      </c>
      <c r="L40" s="25"/>
      <c r="M40" s="24">
        <f t="shared" si="13"/>
        <v>3.75</v>
      </c>
      <c r="N40" s="24">
        <f t="shared" si="14"/>
        <v>3.8000000000000003</v>
      </c>
      <c r="O40" s="24" t="str">
        <f t="shared" si="15"/>
        <v>2,14150842188708+5,54274503882594i</v>
      </c>
      <c r="P40" s="24" t="str">
        <f t="shared" si="16"/>
        <v>2,13440072491666+5,52852910942896i</v>
      </c>
      <c r="Q40" s="37" t="str">
        <f t="shared" si="17"/>
        <v>1,84439603294651+5,63489376082628i</v>
      </c>
      <c r="R40" s="36"/>
    </row>
    <row r="41" spans="4:18" x14ac:dyDescent="0.45">
      <c r="D41" s="27">
        <v>38</v>
      </c>
      <c r="E41" s="26">
        <f t="shared" si="18"/>
        <v>3.8000000000000003</v>
      </c>
      <c r="F41" s="24" t="str">
        <f t="shared" si="19"/>
        <v>1,84394591984184+5,63515437727429i</v>
      </c>
      <c r="G41" s="24" t="str">
        <f t="shared" si="12"/>
        <v>1,23969252649235+5,78949637076175i</v>
      </c>
      <c r="H41" s="24" t="str">
        <f t="shared" si="8"/>
        <v>-5,94108332274565+1,84394591984184i</v>
      </c>
      <c r="I41" s="24" t="str">
        <f t="shared" si="9"/>
        <v>-6,05266424179896+1,54689175370456i</v>
      </c>
      <c r="J41" s="24" t="str">
        <f t="shared" si="10"/>
        <v>-6,0378115334921+1,54131270775189i</v>
      </c>
      <c r="K41" s="24" t="str">
        <f t="shared" si="11"/>
        <v>-6,13316872764147+1,24016476649263i</v>
      </c>
      <c r="L41" s="25"/>
      <c r="M41" s="24">
        <f t="shared" si="13"/>
        <v>3.85</v>
      </c>
      <c r="N41" s="24">
        <f t="shared" si="14"/>
        <v>3.9000000000000004</v>
      </c>
      <c r="O41" s="24" t="str">
        <f t="shared" si="15"/>
        <v>1,54689175370456+5,72735167326638i</v>
      </c>
      <c r="P41" s="24" t="str">
        <f t="shared" si="16"/>
        <v>1,54131270775189+5,71249896495952i</v>
      </c>
      <c r="Q41" s="37" t="str">
        <f t="shared" si="17"/>
        <v>1,24016476649263+5,78928564804948i</v>
      </c>
      <c r="R41" s="36"/>
    </row>
    <row r="42" spans="4:18" x14ac:dyDescent="0.45">
      <c r="D42" s="27">
        <v>39</v>
      </c>
      <c r="E42" s="26">
        <f t="shared" si="18"/>
        <v>3.9000000000000004</v>
      </c>
      <c r="F42" s="24" t="str">
        <f t="shared" si="19"/>
        <v>1,23969252649235+5,78949637076175i</v>
      </c>
      <c r="G42" s="24" t="str">
        <f t="shared" si="12"/>
        <v>0,619428955069187+5,88255862987767i</v>
      </c>
      <c r="H42" s="24" t="str">
        <f t="shared" si="8"/>
        <v>-6,13337945035374+1,23969252649235i</v>
      </c>
      <c r="I42" s="24" t="str">
        <f t="shared" si="9"/>
        <v>-6,21307505912963+0,933023553974663i</v>
      </c>
      <c r="J42" s="24" t="str">
        <f t="shared" si="10"/>
        <v>-6,19774161050374+0,929038773535868i</v>
      </c>
      <c r="K42" s="24" t="str">
        <f t="shared" si="11"/>
        <v>-6,2608014957693+0,619918365441976i</v>
      </c>
      <c r="L42" s="25"/>
      <c r="M42" s="24">
        <f t="shared" si="13"/>
        <v>3.95</v>
      </c>
      <c r="N42" s="24">
        <f t="shared" si="14"/>
        <v>4</v>
      </c>
      <c r="O42" s="24" t="str">
        <f t="shared" si="15"/>
        <v>0,933023553974663+5,85148099708637i</v>
      </c>
      <c r="P42" s="24" t="str">
        <f t="shared" si="16"/>
        <v>0,929038773535868+5,83614754846048i</v>
      </c>
      <c r="Q42" s="37" t="str">
        <f t="shared" si="17"/>
        <v>0,619918365441976+5,88240024811534i</v>
      </c>
      <c r="R42" s="36"/>
    </row>
    <row r="43" spans="4:18" x14ac:dyDescent="0.45">
      <c r="D43" s="27">
        <v>40</v>
      </c>
      <c r="E43" s="26">
        <f t="shared" si="18"/>
        <v>4</v>
      </c>
      <c r="F43" s="24" t="str">
        <f t="shared" si="19"/>
        <v>0,619428955069187+5,88255862987767i</v>
      </c>
      <c r="G43" s="24" t="str">
        <f t="shared" si="12"/>
        <v>-0,010286495179371+5,91306670390538i</v>
      </c>
      <c r="H43" s="24" t="str">
        <f t="shared" si="8"/>
        <v>-6,26095987753163+0,619428955069187i</v>
      </c>
      <c r="I43" s="24" t="str">
        <f t="shared" si="9"/>
        <v>-6,30779270484423+0,306380961192605i</v>
      </c>
      <c r="J43" s="24" t="str">
        <f t="shared" si="10"/>
        <v>-6,2921403051504+0,304039319826975i</v>
      </c>
      <c r="K43" s="24" t="str">
        <f t="shared" si="11"/>
        <v>-6,32210111739258-0,00978507544585294i</v>
      </c>
      <c r="L43" s="25"/>
      <c r="M43" s="24">
        <f t="shared" si="13"/>
        <v>4.05</v>
      </c>
      <c r="N43" s="24">
        <f t="shared" si="14"/>
        <v>4.0999999999999996</v>
      </c>
      <c r="O43" s="24" t="str">
        <f t="shared" si="15"/>
        <v>0,306380961192605+5,91353007763113i</v>
      </c>
      <c r="P43" s="24" t="str">
        <f t="shared" si="16"/>
        <v>0,304039319826975+5,8978776779373i</v>
      </c>
      <c r="Q43" s="37" t="str">
        <f t="shared" si="17"/>
        <v>-0,00978507544585294+5,91296256186037i</v>
      </c>
      <c r="R43" s="36"/>
    </row>
    <row r="44" spans="4:18" x14ac:dyDescent="0.45">
      <c r="D44" s="27">
        <v>41</v>
      </c>
      <c r="E44" s="26">
        <f t="shared" si="18"/>
        <v>4.1000000000000005</v>
      </c>
      <c r="F44" s="24" t="str">
        <f t="shared" si="19"/>
        <v>-0,010286495179371+5,91306670390538i</v>
      </c>
      <c r="G44" s="24" t="str">
        <f t="shared" si="12"/>
        <v>-0,642768484701418+5,88040890737801i</v>
      </c>
      <c r="H44" s="24" t="str">
        <f t="shared" si="8"/>
        <v>-6,32220525943759-0,010286495179371i</v>
      </c>
      <c r="I44" s="24" t="str">
        <f t="shared" si="9"/>
        <v>-6,33554422968413-0,32639675815125i</v>
      </c>
      <c r="J44" s="24" t="str">
        <f t="shared" si="10"/>
        <v>-6,31973871653554-0,327063706663578i</v>
      </c>
      <c r="K44" s="24" t="str">
        <f t="shared" si="11"/>
        <v>-6,31614821944581-0,642260366832925i</v>
      </c>
      <c r="L44" s="25"/>
      <c r="M44" s="24">
        <f t="shared" si="13"/>
        <v>4.1500000000000004</v>
      </c>
      <c r="N44" s="24">
        <f t="shared" si="14"/>
        <v>4.2</v>
      </c>
      <c r="O44" s="24" t="str">
        <f t="shared" si="15"/>
        <v>-0,32639675815125+5,91255237914641i</v>
      </c>
      <c r="P44" s="24" t="str">
        <f t="shared" si="16"/>
        <v>-0,327063706663578+5,89674686599782i</v>
      </c>
      <c r="Q44" s="37" t="str">
        <f t="shared" si="17"/>
        <v>-0,642260366832925+5,88036033323902i</v>
      </c>
      <c r="R44" s="36"/>
    </row>
    <row r="45" spans="4:18" x14ac:dyDescent="0.45">
      <c r="D45" s="27">
        <v>42</v>
      </c>
      <c r="E45" s="26">
        <f t="shared" si="18"/>
        <v>4.2</v>
      </c>
      <c r="F45" s="24" t="str">
        <f t="shared" si="19"/>
        <v>-0,642768484701418+5,88040890737801i</v>
      </c>
      <c r="G45" s="24" t="str">
        <f t="shared" si="12"/>
        <v>-1,27127536237004+5,78464549786434i</v>
      </c>
      <c r="H45" s="24" t="str">
        <f t="shared" si="8"/>
        <v>-6,3161967935848-0,642768484701418i</v>
      </c>
      <c r="I45" s="24" t="str">
        <f t="shared" si="9"/>
        <v>-6,29576516225723-0,958578324380658i</v>
      </c>
      <c r="J45" s="24" t="str">
        <f t="shared" si="10"/>
        <v>-6,27997467027327-0,95755674281428i</v>
      </c>
      <c r="K45" s="24" t="str">
        <f t="shared" si="11"/>
        <v>-6,24273620147131-1,27076595172875i</v>
      </c>
      <c r="L45" s="25"/>
      <c r="M45" s="24">
        <f t="shared" si="13"/>
        <v>4.25</v>
      </c>
      <c r="N45" s="24">
        <f t="shared" si="14"/>
        <v>4.3</v>
      </c>
      <c r="O45" s="24" t="str">
        <f t="shared" si="15"/>
        <v>-0,958578324380658+5,84827048314294i</v>
      </c>
      <c r="P45" s="24" t="str">
        <f t="shared" si="16"/>
        <v>-0,95755674281428+5,83247999115898i</v>
      </c>
      <c r="Q45" s="37" t="str">
        <f t="shared" si="17"/>
        <v>-1,27076595172875+5,78465323309658i</v>
      </c>
      <c r="R45" s="36"/>
    </row>
    <row r="46" spans="4:18" x14ac:dyDescent="0.45">
      <c r="D46" s="27">
        <v>43</v>
      </c>
      <c r="E46" s="26">
        <f t="shared" si="18"/>
        <v>4.3</v>
      </c>
      <c r="F46" s="24" t="str">
        <f t="shared" si="19"/>
        <v>-1,27127536237004+5,78464549786434i</v>
      </c>
      <c r="G46" s="24" t="str">
        <f t="shared" si="12"/>
        <v>-1,8890807433115+5,62651073215713i</v>
      </c>
      <c r="H46" s="24" t="str">
        <f t="shared" si="8"/>
        <v>-6,24272846623907-1,27127536237004i</v>
      </c>
      <c r="I46" s="24" t="str">
        <f t="shared" si="9"/>
        <v>-6,18860801852506-1,58341178568199i</v>
      </c>
      <c r="J46" s="24" t="str">
        <f t="shared" si="10"/>
        <v>-6,17300119735946-1,58070576329629i</v>
      </c>
      <c r="K46" s="24" t="str">
        <f t="shared" si="11"/>
        <v>-6,10237595847947-1,88857548210599i</v>
      </c>
      <c r="L46" s="25"/>
      <c r="M46" s="24">
        <f t="shared" si="13"/>
        <v>4.3499999999999996</v>
      </c>
      <c r="N46" s="24">
        <f t="shared" si="14"/>
        <v>4.3999999999999995</v>
      </c>
      <c r="O46" s="24" t="str">
        <f t="shared" si="15"/>
        <v>-1,58341178568199+5,72108172974584i</v>
      </c>
      <c r="P46" s="24" t="str">
        <f t="shared" si="16"/>
        <v>-1,58070576329629+5,70547490858024i</v>
      </c>
      <c r="Q46" s="37" t="str">
        <f t="shared" si="17"/>
        <v>-1,88857548210599+5,62657492153471i</v>
      </c>
      <c r="R46" s="36"/>
    </row>
    <row r="47" spans="4:18" x14ac:dyDescent="0.45">
      <c r="D47" s="27">
        <v>44</v>
      </c>
      <c r="E47" s="26">
        <f t="shared" si="18"/>
        <v>4.4000000000000004</v>
      </c>
      <c r="F47" s="24" t="str">
        <f t="shared" si="19"/>
        <v>-1,8890807433115+5,62651073215713i</v>
      </c>
      <c r="G47" s="24" t="str">
        <f t="shared" si="12"/>
        <v>-2,48954517851143+5,40740775375884i</v>
      </c>
      <c r="H47" s="24" t="str">
        <f t="shared" si="8"/>
        <v>-6,10231176910189-1,8890807433115i</v>
      </c>
      <c r="I47" s="24" t="str">
        <f t="shared" si="9"/>
        <v>-6,01494322530187-2,19419633176659i</v>
      </c>
      <c r="J47" s="24" t="str">
        <f t="shared" si="10"/>
        <v>-5,99968744587912-2,18982790457659i</v>
      </c>
      <c r="K47" s="24" t="str">
        <f t="shared" si="11"/>
        <v>-5,89629300053202-2,48904948789941i</v>
      </c>
      <c r="L47" s="25"/>
      <c r="M47" s="24">
        <f t="shared" si="13"/>
        <v>4.45</v>
      </c>
      <c r="N47" s="24">
        <f t="shared" si="14"/>
        <v>4.5</v>
      </c>
      <c r="O47" s="24" t="str">
        <f t="shared" si="15"/>
        <v>-2,19419633176659+5,53205669499155i</v>
      </c>
      <c r="P47" s="24" t="str">
        <f t="shared" si="16"/>
        <v>-2,18982790457659+5,5168009155688i</v>
      </c>
      <c r="Q47" s="37" t="str">
        <f t="shared" si="17"/>
        <v>-2,48904948789941+5,40752794169947i</v>
      </c>
      <c r="R47" s="36"/>
    </row>
    <row r="48" spans="4:18" x14ac:dyDescent="0.45">
      <c r="D48" s="27">
        <v>45</v>
      </c>
      <c r="E48" s="26">
        <f t="shared" si="18"/>
        <v>4.5</v>
      </c>
      <c r="F48" s="24" t="str">
        <f t="shared" si="19"/>
        <v>-2,48954517851143+5,40740775375884i</v>
      </c>
      <c r="G48" s="24" t="str">
        <f t="shared" si="12"/>
        <v>-3,0661871555193+5,12939634052648i</v>
      </c>
      <c r="H48" s="24" t="str">
        <f t="shared" si="8"/>
        <v>-5,89617281259139-2,48954517851143i</v>
      </c>
      <c r="I48" s="24" t="str">
        <f t="shared" si="9"/>
        <v>-5,77635242408489-2,784353819141i</v>
      </c>
      <c r="J48" s="24" t="str">
        <f t="shared" si="10"/>
        <v>-5,76161199205341-2,77836279971568i</v>
      </c>
      <c r="K48" s="24" t="str">
        <f t="shared" si="11"/>
        <v>-5,626416975604-3,06570637771677i</v>
      </c>
      <c r="L48" s="25"/>
      <c r="M48" s="24">
        <f t="shared" si="13"/>
        <v>4.55</v>
      </c>
      <c r="N48" s="24">
        <f t="shared" si="14"/>
        <v>4.5999999999999996</v>
      </c>
      <c r="O48" s="24" t="str">
        <f t="shared" si="15"/>
        <v>-2,784353819141+5,28293049483327i</v>
      </c>
      <c r="P48" s="24" t="str">
        <f t="shared" si="16"/>
        <v>-2,77836279971568+5,26819006280179i</v>
      </c>
      <c r="Q48" s="37" t="str">
        <f t="shared" si="17"/>
        <v>-3,06570637771677+5,12957147378727i</v>
      </c>
      <c r="R48" s="36"/>
    </row>
    <row r="49" spans="4:18" x14ac:dyDescent="0.45">
      <c r="D49" s="27">
        <v>46</v>
      </c>
      <c r="E49" s="26">
        <f t="shared" si="18"/>
        <v>4.6000000000000005</v>
      </c>
      <c r="F49" s="24" t="str">
        <f t="shared" si="19"/>
        <v>-3,0661871555193+5,12939634052648i</v>
      </c>
      <c r="G49" s="24" t="str">
        <f t="shared" si="12"/>
        <v>-3,61275267425926+4,79517361723789i</v>
      </c>
      <c r="H49" s="24" t="str">
        <f t="shared" si="8"/>
        <v>-5,62624184234321-3,0661871555193i</v>
      </c>
      <c r="I49" s="24" t="str">
        <f t="shared" si="9"/>
        <v>-5,47511420212995-3,34749924763646i</v>
      </c>
      <c r="J49" s="24" t="str">
        <f t="shared" si="10"/>
        <v>-5,4610485975241-3,3399428656258i</v>
      </c>
      <c r="K49" s="24" t="str">
        <f t="shared" si="11"/>
        <v>-5,29536368274595-3,61229201527171i</v>
      </c>
      <c r="L49" s="25"/>
      <c r="M49" s="24">
        <f t="shared" si="13"/>
        <v>4.6500000000000004</v>
      </c>
      <c r="N49" s="24">
        <f t="shared" si="14"/>
        <v>4.7</v>
      </c>
      <c r="O49" s="24" t="str">
        <f t="shared" si="15"/>
        <v>-3,34749924763646+4,97608698275051i</v>
      </c>
      <c r="P49" s="24" t="str">
        <f t="shared" si="16"/>
        <v>-3,3399428656258+4,96202137814466i</v>
      </c>
      <c r="Q49" s="37" t="str">
        <f t="shared" si="17"/>
        <v>-3,61229201527171+4,7954020539639i</v>
      </c>
      <c r="R49" s="36"/>
    </row>
    <row r="50" spans="4:18" x14ac:dyDescent="0.45">
      <c r="D50" s="27">
        <v>47</v>
      </c>
      <c r="E50" s="26">
        <f t="shared" si="18"/>
        <v>4.7</v>
      </c>
      <c r="F50" s="24" t="str">
        <f t="shared" si="19"/>
        <v>-3,61275267425926+4,79517361723789i</v>
      </c>
      <c r="G50" s="24" t="str">
        <f t="shared" si="12"/>
        <v>-4,12328265466226+4,40804791287208i</v>
      </c>
      <c r="H50" s="24" t="str">
        <f t="shared" si="8"/>
        <v>-5,29513524601994-3,61275267425926i</v>
      </c>
      <c r="I50" s="24" t="str">
        <f t="shared" si="9"/>
        <v>-5,11418237801262-3,87750943656026i</v>
      </c>
      <c r="J50" s="24" t="str">
        <f t="shared" si="10"/>
        <v>-5,10094453989757-3,86846179315989i</v>
      </c>
      <c r="K50" s="24" t="str">
        <f t="shared" si="11"/>
        <v>-4,90640974233982-4,12284712824902i</v>
      </c>
      <c r="L50" s="25"/>
      <c r="M50" s="24">
        <f t="shared" si="13"/>
        <v>4.75</v>
      </c>
      <c r="N50" s="24">
        <f t="shared" si="14"/>
        <v>4.8</v>
      </c>
      <c r="O50" s="24" t="str">
        <f t="shared" si="15"/>
        <v>-3,87750943656026+4,61453598352493i</v>
      </c>
      <c r="P50" s="24" t="str">
        <f t="shared" si="16"/>
        <v>-3,86846179315989+4,60129814540988i</v>
      </c>
      <c r="Q50" s="37" t="str">
        <f t="shared" si="17"/>
        <v>-4,12284712824902+4,4083274379219i</v>
      </c>
      <c r="R50" s="36"/>
    </row>
    <row r="51" spans="4:18" x14ac:dyDescent="0.45">
      <c r="D51" s="27">
        <v>48</v>
      </c>
      <c r="E51" s="26">
        <f t="shared" si="18"/>
        <v>4.8000000000000007</v>
      </c>
      <c r="F51" s="24" t="str">
        <f t="shared" si="19"/>
        <v>-4,12328265466226+4,40804791287208i</v>
      </c>
      <c r="G51" s="24" t="str">
        <f t="shared" si="12"/>
        <v>-4,59217745344843+3,9719060157592i</v>
      </c>
      <c r="H51" s="24" t="str">
        <f t="shared" si="8"/>
        <v>-4,90613021729-4,12328265466226i</v>
      </c>
      <c r="I51" s="24" t="str">
        <f t="shared" si="9"/>
        <v>-4,69715704812233-4,36858916552676i</v>
      </c>
      <c r="J51" s="24" t="str">
        <f t="shared" si="10"/>
        <v>-4,6848917225791-4,35814050706838i</v>
      </c>
      <c r="K51" s="24" t="str">
        <f t="shared" si="11"/>
        <v>-4,46346016847741-4,59177182692017i</v>
      </c>
      <c r="L51" s="25"/>
      <c r="M51" s="24">
        <f t="shared" si="13"/>
        <v>4.8500000000000005</v>
      </c>
      <c r="N51" s="24">
        <f t="shared" si="14"/>
        <v>4.9000000000000004</v>
      </c>
      <c r="O51" s="24" t="str">
        <f t="shared" si="15"/>
        <v>-4,36858916552676+4,20188378013897i</v>
      </c>
      <c r="P51" s="24" t="str">
        <f t="shared" si="16"/>
        <v>-4,35814050706838+4,18961845459574i</v>
      </c>
      <c r="Q51" s="37" t="str">
        <f t="shared" si="17"/>
        <v>-4,59177182692017+3,97223386216524i</v>
      </c>
      <c r="R51" s="36"/>
    </row>
    <row r="52" spans="4:18" x14ac:dyDescent="0.45">
      <c r="D52" s="27">
        <v>49</v>
      </c>
      <c r="E52" s="26">
        <f t="shared" si="18"/>
        <v>4.9000000000000004</v>
      </c>
      <c r="F52" s="24" t="str">
        <f t="shared" si="19"/>
        <v>-4,59217745344843+3,9719060157592i</v>
      </c>
      <c r="G52" s="24" t="str">
        <f t="shared" si="12"/>
        <v>-5,01425779571458+3,49117415066962i</v>
      </c>
      <c r="H52" s="24" t="str">
        <f t="shared" si="8"/>
        <v>-4,46313232207137-4,59217745344843i</v>
      </c>
      <c r="I52" s="24" t="str">
        <f t="shared" si="9"/>
        <v>-4,22824867778769-4,815334069552i</v>
      </c>
      <c r="J52" s="24" t="str">
        <f t="shared" si="10"/>
        <v>-4,21709084698251-4,80358988733781i</v>
      </c>
      <c r="K52" s="24" t="str">
        <f t="shared" si="11"/>
        <v>-3,97100916435699-5,01388653814668i</v>
      </c>
      <c r="L52" s="25"/>
      <c r="M52" s="24">
        <f t="shared" si="13"/>
        <v>4.95</v>
      </c>
      <c r="N52" s="24">
        <f t="shared" si="14"/>
        <v>5</v>
      </c>
      <c r="O52" s="24" t="str">
        <f t="shared" si="15"/>
        <v>-4,815334069552+3,74229714308678i</v>
      </c>
      <c r="P52" s="24" t="str">
        <f t="shared" si="16"/>
        <v>-4,80358988733781+3,7311393122816i</v>
      </c>
      <c r="Q52" s="37" t="str">
        <f t="shared" si="17"/>
        <v>-5,01388653814668+3,49154702702542i</v>
      </c>
      <c r="R52" s="36"/>
    </row>
    <row r="53" spans="4:18" x14ac:dyDescent="0.45">
      <c r="D53" s="27">
        <v>50</v>
      </c>
      <c r="E53" s="26">
        <f t="shared" si="18"/>
        <v>5</v>
      </c>
      <c r="F53" s="24" t="str">
        <f t="shared" si="19"/>
        <v>-5,01425779571458+3,49117415066962i</v>
      </c>
      <c r="G53" s="24" t="str">
        <f t="shared" si="12"/>
        <v>-5,38482146274216+2,97077306961869i</v>
      </c>
      <c r="H53" s="24" t="str">
        <f t="shared" si="8"/>
        <v>-3,97063628800119-5,01425779571458i</v>
      </c>
      <c r="I53" s="24" t="str">
        <f t="shared" si="9"/>
        <v>-3,71223559520184-5,21278961011464i</v>
      </c>
      <c r="J53" s="24" t="str">
        <f t="shared" si="10"/>
        <v>-3,70230900448184-5,19986957547467i</v>
      </c>
      <c r="K53" s="24" t="str">
        <f t="shared" si="11"/>
        <v>-3,43409453428602-5,38448869616276i</v>
      </c>
      <c r="L53" s="25"/>
      <c r="M53" s="24">
        <f t="shared" si="13"/>
        <v>5.05</v>
      </c>
      <c r="N53" s="24">
        <f t="shared" si="14"/>
        <v>5.0999999999999996</v>
      </c>
      <c r="O53" s="24" t="str">
        <f t="shared" si="15"/>
        <v>-5,21278961011464+3,24046126088389i</v>
      </c>
      <c r="P53" s="24" t="str">
        <f t="shared" si="16"/>
        <v>-5,19986957547467+3,23053467016389i</v>
      </c>
      <c r="Q53" s="37" t="str">
        <f t="shared" si="17"/>
        <v>-5,38448869616276+2,97118719312215i</v>
      </c>
      <c r="R53" s="36"/>
    </row>
    <row r="54" spans="4:18" x14ac:dyDescent="0.45">
      <c r="D54" s="27">
        <v>51</v>
      </c>
      <c r="E54" s="26">
        <f t="shared" si="18"/>
        <v>5.1000000000000005</v>
      </c>
      <c r="F54" s="24" t="str">
        <f t="shared" si="19"/>
        <v>-5,38482146274216+2,97077306961869i</v>
      </c>
      <c r="G54" s="24" t="str">
        <f t="shared" si="12"/>
        <v>-5,69969512027901+2,41606771193749i</v>
      </c>
      <c r="H54" s="24" t="str">
        <f t="shared" si="8"/>
        <v>-3,43368041078256-5,38482146274216i</v>
      </c>
      <c r="I54" s="24" t="str">
        <f t="shared" si="9"/>
        <v>-3,15441531721593-5,55650548328129i</v>
      </c>
      <c r="J54" s="24" t="str">
        <f t="shared" si="10"/>
        <v>-3,14583111618898-5,54254222860296i</v>
      </c>
      <c r="K54" s="24" t="str">
        <f t="shared" si="11"/>
        <v>-2,85824617461847-5,69940457436106i</v>
      </c>
      <c r="L54" s="25"/>
      <c r="M54" s="24">
        <f t="shared" si="13"/>
        <v>5.15</v>
      </c>
      <c r="N54" s="24">
        <f t="shared" si="14"/>
        <v>5.2</v>
      </c>
      <c r="O54" s="24" t="str">
        <f t="shared" si="15"/>
        <v>-5,55650548328129+2,70153199648158i</v>
      </c>
      <c r="P54" s="24" t="str">
        <f t="shared" si="16"/>
        <v>-5,54254222860296+2,69294779545463i</v>
      </c>
      <c r="Q54" s="37" t="str">
        <f t="shared" si="17"/>
        <v>-5,69940457436106+2,41651884675839i</v>
      </c>
      <c r="R54" s="36"/>
    </row>
    <row r="55" spans="4:18" x14ac:dyDescent="0.45">
      <c r="D55" s="27">
        <v>52</v>
      </c>
      <c r="E55" s="26">
        <f t="shared" si="18"/>
        <v>5.2</v>
      </c>
      <c r="F55" s="24" t="str">
        <f t="shared" si="19"/>
        <v>-5,69969512027901+2,41606771193749i</v>
      </c>
      <c r="G55" s="24" t="str">
        <f t="shared" si="12"/>
        <v>-5,95528072103158+1,8328119483138i</v>
      </c>
      <c r="H55" s="24" t="str">
        <f t="shared" si="8"/>
        <v>-2,85779503979757-5,69969512027901i</v>
      </c>
      <c r="I55" s="24" t="str">
        <f t="shared" si="9"/>
        <v>-2,56055020263684-5,84258487226889i</v>
      </c>
      <c r="J55" s="24" t="str">
        <f t="shared" si="10"/>
        <v>-2,55340571503734-5,82772263041085i</v>
      </c>
      <c r="K55" s="24" t="str">
        <f t="shared" si="11"/>
        <v>-2,24942917000835-5,95503569178274i</v>
      </c>
      <c r="L55" s="25"/>
      <c r="M55" s="24">
        <f t="shared" si="13"/>
        <v>5.25</v>
      </c>
      <c r="N55" s="24">
        <f t="shared" si="14"/>
        <v>5.3</v>
      </c>
      <c r="O55" s="24" t="str">
        <f t="shared" si="15"/>
        <v>-5,84258487226889+2,13108295592354i</v>
      </c>
      <c r="P55" s="24" t="str">
        <f t="shared" si="16"/>
        <v>-5,82772263041085+2,12393846832404i</v>
      </c>
      <c r="Q55" s="37" t="str">
        <f t="shared" si="17"/>
        <v>-5,95503569178274+1,8332954488964i</v>
      </c>
      <c r="R55" s="36"/>
    </row>
    <row r="56" spans="4:18" x14ac:dyDescent="0.45">
      <c r="D56" s="27">
        <v>53</v>
      </c>
      <c r="E56" s="26">
        <f t="shared" si="18"/>
        <v>5.3000000000000007</v>
      </c>
      <c r="F56" s="24" t="str">
        <f t="shared" si="19"/>
        <v>-5,95528072103158+1,8328119483138i</v>
      </c>
      <c r="G56" s="24" t="str">
        <f t="shared" si="12"/>
        <v>-6,14859597072941+1,22708897740126i</v>
      </c>
      <c r="H56" s="24" t="str">
        <f t="shared" si="8"/>
        <v>-2,24894566942575-5,95528072103158i</v>
      </c>
      <c r="I56" s="24" t="str">
        <f t="shared" si="9"/>
        <v>-1,9368079901883-6,06772800450287i</v>
      </c>
      <c r="J56" s="24" t="str">
        <f t="shared" si="10"/>
        <v>-1,93118562601474-6,052121120541i</v>
      </c>
      <c r="K56" s="24" t="str">
        <f t="shared" si="11"/>
        <v>-1,61398208003769-6,14839928363305i</v>
      </c>
      <c r="L56" s="25"/>
      <c r="M56" s="24">
        <f t="shared" si="13"/>
        <v>5.3500000000000005</v>
      </c>
      <c r="N56" s="24">
        <f t="shared" si="14"/>
        <v>5.4</v>
      </c>
      <c r="O56" s="24" t="str">
        <f t="shared" si="15"/>
        <v>-6,06772800450287+1,53504791226222i</v>
      </c>
      <c r="P56" s="24" t="str">
        <f t="shared" si="16"/>
        <v>-6,052121120541+1,52942554808866i</v>
      </c>
      <c r="Q56" s="37" t="str">
        <f t="shared" si="17"/>
        <v>-6,14839928363305+1,2275998362597i</v>
      </c>
      <c r="R56" s="36"/>
    </row>
    <row r="57" spans="4:18" x14ac:dyDescent="0.45">
      <c r="D57" s="27">
        <v>54</v>
      </c>
      <c r="E57" s="26">
        <f t="shared" si="18"/>
        <v>5.4</v>
      </c>
      <c r="F57" s="24" t="str">
        <f t="shared" si="19"/>
        <v>-6,14859597072941+1,22708897740126i</v>
      </c>
      <c r="G57" s="24" t="str">
        <f t="shared" si="12"/>
        <v>-6,2773084083203+0,605247991642745i</v>
      </c>
      <c r="H57" s="24" t="str">
        <f t="shared" si="8"/>
        <v>-1,61347122117925-6,14859597072941i</v>
      </c>
      <c r="I57" s="24" t="str">
        <f t="shared" si="9"/>
        <v>-1,28969783410924-6,22926953178837i</v>
      </c>
      <c r="J57" s="24" t="str">
        <f t="shared" si="10"/>
        <v>-1,28566415605629-6,21308086243487i</v>
      </c>
      <c r="K57" s="24" t="str">
        <f t="shared" si="11"/>
        <v>-0,958551053942969-6,27716238633504i</v>
      </c>
      <c r="L57" s="25"/>
      <c r="M57" s="24">
        <f t="shared" si="13"/>
        <v>5.45</v>
      </c>
      <c r="N57" s="24">
        <f t="shared" si="14"/>
        <v>5.5</v>
      </c>
      <c r="O57" s="24" t="str">
        <f t="shared" si="15"/>
        <v>-6,22926953178837+0,919659178864789i</v>
      </c>
      <c r="P57" s="24" t="str">
        <f t="shared" si="16"/>
        <v>-6,21308086243487+0,915625500811841i</v>
      </c>
      <c r="Q57" s="37" t="str">
        <f t="shared" si="17"/>
        <v>-6,27716238633504+0,605780891157773i</v>
      </c>
      <c r="R57" s="36"/>
    </row>
    <row r="58" spans="4:18" x14ac:dyDescent="0.45">
      <c r="D58" s="27">
        <v>55</v>
      </c>
      <c r="E58" s="26">
        <f t="shared" si="18"/>
        <v>5.5</v>
      </c>
      <c r="F58" s="24" t="str">
        <f t="shared" si="19"/>
        <v>-6,2773084083203+0,605247991642745i</v>
      </c>
      <c r="G58" s="24" t="str">
        <f t="shared" si="12"/>
        <v>-6,33976271699301-0,026162229370572i</v>
      </c>
      <c r="H58" s="24" t="str">
        <f t="shared" si="8"/>
        <v>-0,958018154427941-6,2773084083203i</v>
      </c>
      <c r="I58" s="24" t="str">
        <f t="shared" si="9"/>
        <v>-0,626002499864861-6,3252093160417i</v>
      </c>
      <c r="J58" s="24" t="str">
        <f t="shared" si="10"/>
        <v>-0,623607454478791-6,30860853331354i</v>
      </c>
      <c r="K58" s="24" t="str">
        <f t="shared" si="11"/>
        <v>-0,290020457247552-6,33966915376818i</v>
      </c>
      <c r="L58" s="25"/>
      <c r="M58" s="24">
        <f t="shared" si="13"/>
        <v>5.55</v>
      </c>
      <c r="N58" s="24">
        <f t="shared" si="14"/>
        <v>5.6</v>
      </c>
      <c r="O58" s="24" t="str">
        <f t="shared" si="15"/>
        <v>-6,3252093160417+0,29138257122673i</v>
      </c>
      <c r="P58" s="24" t="str">
        <f t="shared" si="16"/>
        <v>-6,30860853331354+0,28898752584066i</v>
      </c>
      <c r="Q58" s="37" t="str">
        <f t="shared" si="17"/>
        <v>-6,33966915376818-0,025612861688609i</v>
      </c>
      <c r="R58" s="36"/>
    </row>
    <row r="59" spans="4:18" x14ac:dyDescent="0.45">
      <c r="D59" s="27">
        <v>56</v>
      </c>
      <c r="E59" s="26">
        <f t="shared" si="18"/>
        <v>5.6000000000000005</v>
      </c>
      <c r="F59" s="24" t="str">
        <f t="shared" si="19"/>
        <v>-6,33976271699301-0,026162229370572i</v>
      </c>
      <c r="G59" s="24" t="str">
        <f t="shared" si="12"/>
        <v>-6,33500095311972-0,660462104839927i</v>
      </c>
      <c r="H59" s="24" t="str">
        <f t="shared" si="8"/>
        <v>-0,289471089565588-6,33976271699301i</v>
      </c>
      <c r="I59" s="24" t="str">
        <f t="shared" si="9"/>
        <v>0,0472925749047183-6,35423627147129i</v>
      </c>
      <c r="J59" s="24" t="str">
        <f t="shared" si="10"/>
        <v>0,0480162526286323-6,33739808824777i</v>
      </c>
      <c r="K59" s="24" t="str">
        <f t="shared" si="11"/>
        <v>0,38455926689653-6,33496109173015i</v>
      </c>
      <c r="L59" s="25"/>
      <c r="M59" s="24">
        <f t="shared" si="13"/>
        <v>5.65</v>
      </c>
      <c r="N59" s="24">
        <f t="shared" si="14"/>
        <v>5.7</v>
      </c>
      <c r="O59" s="24" t="str">
        <f t="shared" si="15"/>
        <v>-6,35423627147129-0,343150365220223i</v>
      </c>
      <c r="P59" s="24" t="str">
        <f t="shared" si="16"/>
        <v>-6,33739808824777-0,343874042944137i</v>
      </c>
      <c r="Q59" s="37" t="str">
        <f t="shared" si="17"/>
        <v>-6,33496109173015-0,659902038195349i</v>
      </c>
      <c r="R59" s="36"/>
    </row>
    <row r="60" spans="4:18" x14ac:dyDescent="0.45">
      <c r="D60" s="27">
        <v>57</v>
      </c>
      <c r="E60" s="26">
        <f t="shared" si="18"/>
        <v>5.7</v>
      </c>
      <c r="F60" s="24" t="str">
        <f t="shared" si="19"/>
        <v>-6,33500095311972-0,660462104839927i</v>
      </c>
      <c r="G60" s="24" t="str">
        <f t="shared" si="12"/>
        <v>-6,26277545413247-1,29091169721407i</v>
      </c>
      <c r="H60" s="24" t="str">
        <f t="shared" si="8"/>
        <v>0,385119333541108-6,33500095311972i</v>
      </c>
      <c r="I60" s="24" t="str">
        <f t="shared" si="9"/>
        <v>0,723072613746284-6,31574498644266i</v>
      </c>
      <c r="J60" s="24" t="str">
        <f t="shared" si="10"/>
        <v>0,722109815412431-6,29884732243241i</v>
      </c>
      <c r="K60" s="24" t="str">
        <f t="shared" si="11"/>
        <v>1,05804574737629-6,26278997157848i</v>
      </c>
      <c r="L60" s="25"/>
      <c r="M60" s="24">
        <f t="shared" si="13"/>
        <v>5.75</v>
      </c>
      <c r="N60" s="24">
        <f t="shared" si="14"/>
        <v>5.8</v>
      </c>
      <c r="O60" s="24" t="str">
        <f t="shared" si="15"/>
        <v>-6,31574498644266-0,977212152495913i</v>
      </c>
      <c r="P60" s="24" t="str">
        <f t="shared" si="16"/>
        <v>-6,29884732243241-0,97624935416206i</v>
      </c>
      <c r="Q60" s="37" t="str">
        <f t="shared" si="17"/>
        <v>-6,26278997157848-1,29034683708317i</v>
      </c>
      <c r="R60" s="36"/>
    </row>
    <row r="61" spans="4:18" x14ac:dyDescent="0.45">
      <c r="D61" s="27">
        <v>58</v>
      </c>
      <c r="E61" s="26">
        <f t="shared" si="18"/>
        <v>5.8000000000000007</v>
      </c>
      <c r="F61" s="24" t="str">
        <f t="shared" si="19"/>
        <v>-6,26277545413247-1,29091169721407i</v>
      </c>
      <c r="G61" s="24" t="str">
        <f t="shared" si="12"/>
        <v>-6,12355426302614-1,910782074289i</v>
      </c>
      <c r="H61" s="24" t="str">
        <f t="shared" si="8"/>
        <v>1,05861060750719-6,26277545413247i</v>
      </c>
      <c r="I61" s="24" t="str">
        <f t="shared" si="9"/>
        <v>1,39416846100076-6,20984492375711i</v>
      </c>
      <c r="J61" s="24" t="str">
        <f t="shared" si="10"/>
        <v>1,391521934482-6,19306703108243i</v>
      </c>
      <c r="K61" s="24" t="str">
        <f t="shared" si="11"/>
        <v>1,72328006790719-6,12362326068427i</v>
      </c>
      <c r="L61" s="25"/>
      <c r="M61" s="24">
        <f t="shared" si="13"/>
        <v>5.8500000000000005</v>
      </c>
      <c r="N61" s="24">
        <f t="shared" si="14"/>
        <v>5.9</v>
      </c>
      <c r="O61" s="24" t="str">
        <f t="shared" si="15"/>
        <v>-6,20984492375711-1,60405046992069i</v>
      </c>
      <c r="P61" s="24" t="str">
        <f t="shared" si="16"/>
        <v>-6,19306703108243-1,60140394340193i</v>
      </c>
      <c r="Q61" s="37" t="str">
        <f t="shared" si="17"/>
        <v>-6,12362326068427-1,91021840032231i</v>
      </c>
      <c r="R61" s="36"/>
    </row>
    <row r="62" spans="4:18" x14ac:dyDescent="0.45">
      <c r="D62" s="27">
        <v>59</v>
      </c>
      <c r="E62" s="26">
        <f t="shared" si="18"/>
        <v>5.9</v>
      </c>
      <c r="F62" s="24" t="str">
        <f t="shared" si="19"/>
        <v>-6,12355426302614-1,910782074289i</v>
      </c>
      <c r="G62" s="24" t="str">
        <f t="shared" si="12"/>
        <v>-5,91851898581317-2,51342683577073i</v>
      </c>
      <c r="H62" s="24" t="str">
        <f t="shared" si="8"/>
        <v>1,72384374187388-6,12355426302614i</v>
      </c>
      <c r="I62" s="24" t="str">
        <f t="shared" si="9"/>
        <v>2,05343238000544-6,03736207593245i</v>
      </c>
      <c r="J62" s="24" t="str">
        <f t="shared" si="10"/>
        <v>2,04912277065075-6,02088264402587i</v>
      </c>
      <c r="K62" s="24" t="str">
        <f t="shared" si="11"/>
        <v>2,37316258959213-5,91864198596106i</v>
      </c>
      <c r="L62" s="25"/>
      <c r="M62" s="24">
        <f t="shared" si="13"/>
        <v>5.95</v>
      </c>
      <c r="N62" s="24">
        <f t="shared" si="14"/>
        <v>6</v>
      </c>
      <c r="O62" s="24" t="str">
        <f t="shared" si="15"/>
        <v>-6,03736207593245-2,21695978744031i</v>
      </c>
      <c r="P62" s="24" t="str">
        <f t="shared" si="16"/>
        <v>-6,02088264402587-2,21265017808562i</v>
      </c>
      <c r="Q62" s="37" t="str">
        <f t="shared" si="17"/>
        <v>-5,91864198596106-2,51287033869159i</v>
      </c>
      <c r="R62" s="36"/>
    </row>
    <row r="63" spans="4:18" x14ac:dyDescent="0.45">
      <c r="D63" s="27">
        <v>60</v>
      </c>
      <c r="E63" s="26">
        <f t="shared" si="18"/>
        <v>6</v>
      </c>
      <c r="F63" s="24" t="str">
        <f t="shared" si="19"/>
        <v>-5,91851898581317-2,51342683577073i</v>
      </c>
      <c r="G63" s="24" t="str">
        <f t="shared" si="12"/>
        <v>-5,64955507801907-3,09235304673408i</v>
      </c>
      <c r="H63" s="24" t="str">
        <f t="shared" si="8"/>
        <v>2,37371908667127-5,91851898581317i</v>
      </c>
      <c r="I63" s="24" t="str">
        <f t="shared" si="9"/>
        <v>2,69381389091169-5,79983303147961i</v>
      </c>
      <c r="J63" s="24" t="str">
        <f t="shared" si="10"/>
        <v>2,68787959319501-5,78382829126759i</v>
      </c>
      <c r="K63" s="24" t="str">
        <f t="shared" si="11"/>
        <v>3,00072841276144-5,64973102649367i</v>
      </c>
      <c r="L63" s="25"/>
      <c r="M63" s="24">
        <f t="shared" si="13"/>
        <v>6.05</v>
      </c>
      <c r="N63" s="24">
        <f t="shared" si="14"/>
        <v>6.1</v>
      </c>
      <c r="O63" s="24" t="str">
        <f t="shared" si="15"/>
        <v>-5,79983303147961-2,80935278506139i</v>
      </c>
      <c r="P63" s="24" t="str">
        <f t="shared" si="16"/>
        <v>-5,78382829126759-2,80341848734471i</v>
      </c>
      <c r="Q63" s="37" t="str">
        <f t="shared" si="17"/>
        <v>-5,64973102649367-3,09180966489749i</v>
      </c>
      <c r="R63" s="36"/>
    </row>
    <row r="64" spans="4:18" x14ac:dyDescent="0.45">
      <c r="D64" s="27">
        <v>61</v>
      </c>
      <c r="E64" s="26">
        <f t="shared" si="18"/>
        <v>6.1000000000000005</v>
      </c>
      <c r="F64" s="24" t="str">
        <f t="shared" si="19"/>
        <v>-5,64955507801907-3,09235304673408i</v>
      </c>
      <c r="G64" s="24" t="str">
        <f t="shared" si="12"/>
        <v>-5,31923463636313-3,64129082402344i</v>
      </c>
      <c r="H64" s="24" t="str">
        <f t="shared" si="8"/>
        <v>3,00127179459803-5,64955507801907i</v>
      </c>
      <c r="I64" s="24" t="str">
        <f t="shared" si="9"/>
        <v>3,30843484620877-5,49949148828917i</v>
      </c>
      <c r="J64" s="24" t="str">
        <f t="shared" si="10"/>
        <v>3,30093166672228-5,48413333570863i</v>
      </c>
      <c r="K64" s="24" t="str">
        <f t="shared" si="11"/>
        <v>3,59922167889619-5,31946191134684i</v>
      </c>
      <c r="L64" s="25"/>
      <c r="M64" s="24">
        <f t="shared" si="13"/>
        <v>6.15</v>
      </c>
      <c r="N64" s="24">
        <f t="shared" si="14"/>
        <v>6.2</v>
      </c>
      <c r="O64" s="24" t="str">
        <f t="shared" si="15"/>
        <v>-5,49949148828917-3,37483080063503i</v>
      </c>
      <c r="P64" s="24" t="str">
        <f t="shared" si="16"/>
        <v>-5,48413333570863-3,36732762114854i</v>
      </c>
      <c r="Q64" s="37" t="str">
        <f t="shared" si="17"/>
        <v>-5,31946191134684-3,64076638030494i</v>
      </c>
      <c r="R64" s="36"/>
    </row>
    <row r="65" spans="4:18" x14ac:dyDescent="0.45">
      <c r="D65" s="27">
        <v>62</v>
      </c>
      <c r="E65" s="26">
        <f t="shared" si="18"/>
        <v>6.2</v>
      </c>
      <c r="F65" s="24" t="str">
        <f t="shared" si="19"/>
        <v>-5,31923463636313-3,64129082402344i</v>
      </c>
      <c r="G65" s="24" t="str">
        <f t="shared" si="12"/>
        <v>-4,93079185127251-4,15426083323901i</v>
      </c>
      <c r="H65" s="24" t="str">
        <f t="shared" si="8"/>
        <v>3,59974612261469-5,31923463636313i</v>
      </c>
      <c r="I65" s="24" t="str">
        <f t="shared" si="9"/>
        <v>3,89066294756782-5,1392473302324i</v>
      </c>
      <c r="J65" s="24" t="str">
        <f t="shared" si="10"/>
        <v>3,88166358226128-5,12470148898474i</v>
      </c>
      <c r="K65" s="24" t="str">
        <f t="shared" si="11"/>
        <v>4,16216792316408-4,931068278137i</v>
      </c>
      <c r="L65" s="25"/>
      <c r="M65" s="24">
        <f t="shared" si="13"/>
        <v>6.25</v>
      </c>
      <c r="N65" s="24">
        <f t="shared" si="14"/>
        <v>6.3</v>
      </c>
      <c r="O65" s="24" t="str">
        <f t="shared" si="15"/>
        <v>-5,1392473302324-3,9072525558416i</v>
      </c>
      <c r="P65" s="24" t="str">
        <f t="shared" si="16"/>
        <v>-5,12470148898474-3,89825319053506i</v>
      </c>
      <c r="Q65" s="37" t="str">
        <f t="shared" si="17"/>
        <v>-4,931068278137-4,15376097292191i</v>
      </c>
      <c r="R65" s="36"/>
    </row>
    <row r="66" spans="4:18" x14ac:dyDescent="0.45">
      <c r="D66" s="27">
        <v>63</v>
      </c>
      <c r="E66" s="26">
        <f t="shared" si="18"/>
        <v>6.3000000000000007</v>
      </c>
      <c r="F66" s="24" t="str">
        <f t="shared" si="19"/>
        <v>-4,93079185127251-4,15426083323901i</v>
      </c>
      <c r="G66" s="24" t="str">
        <f t="shared" si="12"/>
        <v>-4,48809135398916-4,62563897343768i</v>
      </c>
      <c r="H66" s="24" t="str">
        <f t="shared" si="8"/>
        <v>4,16266778348119-4,93079185127251i</v>
      </c>
      <c r="I66" s="24" t="str">
        <f t="shared" si="9"/>
        <v>4,43418292156342-4,72265846209845i</v>
      </c>
      <c r="J66" s="24" t="str">
        <f t="shared" si="10"/>
        <v>4,42377625210471-4,70908270519434i</v>
      </c>
      <c r="K66" s="24" t="str">
        <f t="shared" si="11"/>
        <v>4,68344370618369-4,48841422606204i</v>
      </c>
      <c r="L66" s="25"/>
      <c r="M66" s="24">
        <f t="shared" si="13"/>
        <v>6.3500000000000005</v>
      </c>
      <c r="N66" s="24">
        <f t="shared" si="14"/>
        <v>6.4</v>
      </c>
      <c r="O66" s="24" t="str">
        <f t="shared" si="15"/>
        <v>-4,72265846209845-4,40080042580264i</v>
      </c>
      <c r="P66" s="24" t="str">
        <f t="shared" si="16"/>
        <v>-4,70908270519434-4,39039375634393i</v>
      </c>
      <c r="Q66" s="37" t="str">
        <f t="shared" si="17"/>
        <v>-4,48841422606204-4,62516910375844i</v>
      </c>
      <c r="R66" s="36"/>
    </row>
    <row r="67" spans="4:18" x14ac:dyDescent="0.45">
      <c r="D67" s="27">
        <v>64</v>
      </c>
      <c r="E67" s="26">
        <f t="shared" si="18"/>
        <v>6.4</v>
      </c>
      <c r="F67" s="24" t="str">
        <f t="shared" si="19"/>
        <v>-4,48809135398916-4,62563897343768i</v>
      </c>
      <c r="G67" s="24" t="str">
        <f t="shared" ref="G67:G98" si="20">IMSUM(F67,IMPRODUCT((IMSUM(H67,IMPRODUCT(2,I67),IMPRODUCT(2,J67),K67)),$B$4/6))</f>
        <v>-3,99558976791962-5,05021755386983i</v>
      </c>
      <c r="H67" s="24" t="str">
        <f t="shared" si="8"/>
        <v>4,68391357586293-4,48809135398916i</v>
      </c>
      <c r="I67" s="24" t="str">
        <f t="shared" si="9"/>
        <v>4,93306459406962-4,25389567519601i</v>
      </c>
      <c r="J67" s="24" t="str">
        <f t="shared" si="10"/>
        <v>4,92135481012996-4,24143812428568i</v>
      </c>
      <c r="K67" s="24" t="str">
        <f t="shared" si="11"/>
        <v>5,15734277991016-3,99595587297616i</v>
      </c>
      <c r="L67" s="25"/>
      <c r="M67" s="24">
        <f t="shared" ref="M67:M103" si="21">E67+(1/2)*$B$4</f>
        <v>6.45</v>
      </c>
      <c r="N67" s="24">
        <f t="shared" ref="N67:N103" si="22">E67+$B$4</f>
        <v>6.5</v>
      </c>
      <c r="O67" s="24" t="str">
        <f t="shared" ref="O67:O103" si="23">IMSUM(F67,IMPRODUCT(1/2,H67,$B$4))</f>
        <v>-4,25389567519601-4,85004354113714i</v>
      </c>
      <c r="P67" s="24" t="str">
        <f t="shared" ref="P67:P103" si="24">IMSUM(F67,IMPRODUCT(1/2,I67,$B$4))</f>
        <v>-4,24143812428568-4,83833375719748i</v>
      </c>
      <c r="Q67" s="37" t="str">
        <f t="shared" ref="Q67:Q103" si="25">IMSUM(F67,IMPRODUCT(J67,$B$4))</f>
        <v>-3,99595587297616-5,04978278586625i</v>
      </c>
      <c r="R67" s="36"/>
    </row>
    <row r="68" spans="4:18" x14ac:dyDescent="0.45">
      <c r="D68" s="27">
        <v>65</v>
      </c>
      <c r="E68" s="26">
        <f t="shared" ref="E68:E99" si="26">D68*$B$4+$B$3</f>
        <v>6.5</v>
      </c>
      <c r="F68" s="24" t="str">
        <f t="shared" ref="F68:F103" si="27">G67</f>
        <v>-3,99558976791962-5,05021755386983i</v>
      </c>
      <c r="G68" s="24" t="str">
        <f t="shared" si="20"/>
        <v>-3,45829084674072-5,42326230171021i</v>
      </c>
      <c r="H68" s="24" t="str">
        <f t="shared" ref="H68:H103" si="28">IMSUM((-1/2)*(($B$7/$B$6)^(1/2))*$B$8*SIN(E68)/$B$7,IMPRODUCT(COMPLEX(0,1),(($B$6/$B$7)^(1/2)),F68))</f>
        <v>5,15777754791374-3,99558976791962i</v>
      </c>
      <c r="I68" s="24" t="str">
        <f t="shared" ref="I68:I103" si="29">IMSUM((-1/2)*(($B$7/$B$6)^(1/2))*$B$8*SIN(M68)/$B$7,IMPRODUCT(COMPLEX(0,1),(($B$6/$B$7)^(1/2)),O68))</f>
        <v>5,3818271334522-3,73770089052393i</v>
      </c>
      <c r="J68" s="24" t="str">
        <f t="shared" ref="J68:J103" si="30">IMSUM((-1/2)*(($B$7/$B$6)^(1/2))*$B$8*SIN(M68)/$B$7,IMPRODUCT(COMPLEX(0,1),(($B$6/$B$7)^(1/2)),P68))</f>
        <v>5,36893268958242-3,72649841124701i</v>
      </c>
      <c r="K68" s="24" t="str">
        <f t="shared" ref="K68:K103" si="31">IMSUM((-1/2)*(($B$7/$B$6)^(1/2))*$B$8*SIN(N68)/$B$7,IMPRODUCT(COMPLEX(0,1),(($B$6/$B$7)^(1/2)),Q68))</f>
        <v>5,57863807675122-3,45869649896138i</v>
      </c>
      <c r="L68" s="25"/>
      <c r="M68" s="24">
        <f t="shared" si="21"/>
        <v>6.55</v>
      </c>
      <c r="N68" s="24">
        <f t="shared" si="22"/>
        <v>6.6</v>
      </c>
      <c r="O68" s="24" t="str">
        <f t="shared" si="23"/>
        <v>-3,73770089052393-5,24999704226581i</v>
      </c>
      <c r="P68" s="24" t="str">
        <f t="shared" si="24"/>
        <v>-3,72649841124701-5,23710259839603i</v>
      </c>
      <c r="Q68" s="37" t="str">
        <f t="shared" si="25"/>
        <v>-3,45869649896138-5,42286739499453i</v>
      </c>
      <c r="R68" s="36"/>
    </row>
    <row r="69" spans="4:18" x14ac:dyDescent="0.45">
      <c r="D69" s="27">
        <v>66</v>
      </c>
      <c r="E69" s="26">
        <f t="shared" si="26"/>
        <v>6.6000000000000005</v>
      </c>
      <c r="F69" s="24" t="str">
        <f t="shared" si="27"/>
        <v>-3,45829084674072-5,42326230171021i</v>
      </c>
      <c r="G69" s="24" t="str">
        <f t="shared" si="20"/>
        <v>-2,88169465083134-5,74056458147996i</v>
      </c>
      <c r="H69" s="24" t="str">
        <f t="shared" si="28"/>
        <v>5,5790329834669-3,45829084674072i</v>
      </c>
      <c r="I69" s="24" t="str">
        <f t="shared" si="29"/>
        <v>5,77549877079365-3,17933919756738i</v>
      </c>
      <c r="J69" s="24" t="str">
        <f t="shared" si="30"/>
        <v>5,76155118833498-3,16951590820104i</v>
      </c>
      <c r="K69" s="24" t="str">
        <f t="shared" si="31"/>
        <v>5,94263885283861-2,88213572790722i</v>
      </c>
      <c r="L69" s="25"/>
      <c r="M69" s="24">
        <f t="shared" si="21"/>
        <v>6.65</v>
      </c>
      <c r="N69" s="24">
        <f t="shared" si="22"/>
        <v>6.7</v>
      </c>
      <c r="O69" s="24" t="str">
        <f t="shared" si="23"/>
        <v>-3,17933919756738-5,59617684404725i</v>
      </c>
      <c r="P69" s="24" t="str">
        <f t="shared" si="24"/>
        <v>-3,16951590820104-5,58222926158858i</v>
      </c>
      <c r="Q69" s="37" t="str">
        <f t="shared" si="25"/>
        <v>-2,88213572790722-5,74021389253031i</v>
      </c>
      <c r="R69" s="36"/>
    </row>
    <row r="70" spans="4:18" x14ac:dyDescent="0.45">
      <c r="D70" s="27">
        <v>67</v>
      </c>
      <c r="E70" s="26">
        <f t="shared" si="26"/>
        <v>6.7</v>
      </c>
      <c r="F70" s="24" t="str">
        <f t="shared" si="27"/>
        <v>-2,88169465083134-5,74056458147996i</v>
      </c>
      <c r="G70" s="24" t="str">
        <f t="shared" si="20"/>
        <v>-2,27174127811293-5,99848825528017i</v>
      </c>
      <c r="H70" s="24" t="str">
        <f t="shared" si="28"/>
        <v>5,94298954178826-2,88169465083134i</v>
      </c>
      <c r="I70" s="24" t="str">
        <f t="shared" si="29"/>
        <v>6,10967135091184-2,58454517374193i</v>
      </c>
      <c r="J70" s="24" t="str">
        <f t="shared" si="30"/>
        <v>6,09481387705737-2,57621108328575i</v>
      </c>
      <c r="K70" s="24" t="str">
        <f t="shared" si="31"/>
        <v>6,24524236537784-2,2722132631256i</v>
      </c>
      <c r="L70" s="25"/>
      <c r="M70" s="24">
        <f t="shared" si="21"/>
        <v>6.75</v>
      </c>
      <c r="N70" s="24">
        <f t="shared" si="22"/>
        <v>6.8</v>
      </c>
      <c r="O70" s="24" t="str">
        <f t="shared" si="23"/>
        <v>-2,58454517374193-5,88464931402153i</v>
      </c>
      <c r="P70" s="24" t="str">
        <f t="shared" si="24"/>
        <v>-2,57621108328575-5,86979184016706i</v>
      </c>
      <c r="Q70" s="37" t="str">
        <f t="shared" si="25"/>
        <v>-2,2722132631256-5,99818568980854i</v>
      </c>
      <c r="R70" s="36"/>
    </row>
    <row r="71" spans="4:18" x14ac:dyDescent="0.45">
      <c r="D71" s="27">
        <v>68</v>
      </c>
      <c r="E71" s="26">
        <f t="shared" si="26"/>
        <v>6.8000000000000007</v>
      </c>
      <c r="F71" s="24" t="str">
        <f t="shared" si="27"/>
        <v>-2,27174127811293-5,99848825528017i</v>
      </c>
      <c r="G71" s="24" t="str">
        <f t="shared" si="20"/>
        <v>-1,6347497246543-6,19401066757589i</v>
      </c>
      <c r="H71" s="24" t="str">
        <f t="shared" si="28"/>
        <v>6,24554493084947-2,27174127811293i</v>
      </c>
      <c r="I71" s="24" t="str">
        <f t="shared" si="29"/>
        <v>6,38054912040983-1,95946403157046i</v>
      </c>
      <c r="J71" s="24" t="str">
        <f t="shared" si="30"/>
        <v>6,3649352580827-1,95271382209244i</v>
      </c>
      <c r="K71" s="24" t="str">
        <f t="shared" si="31"/>
        <v>6,48297951968351-1,63524775230466i</v>
      </c>
      <c r="L71" s="25"/>
      <c r="M71" s="24">
        <f t="shared" si="21"/>
        <v>6.8500000000000005</v>
      </c>
      <c r="N71" s="24">
        <f t="shared" si="22"/>
        <v>6.9</v>
      </c>
      <c r="O71" s="24" t="str">
        <f t="shared" si="23"/>
        <v>-1,95946403157046-6,11207531918582i</v>
      </c>
      <c r="P71" s="24" t="str">
        <f t="shared" si="24"/>
        <v>-1,95271382209244-6,09646145685869i</v>
      </c>
      <c r="Q71" s="37" t="str">
        <f t="shared" si="25"/>
        <v>-1,63524775230466-6,19375963748941i</v>
      </c>
      <c r="R71" s="36"/>
    </row>
    <row r="72" spans="4:18" x14ac:dyDescent="0.45">
      <c r="D72" s="27">
        <v>69</v>
      </c>
      <c r="E72" s="26">
        <f t="shared" si="26"/>
        <v>6.9</v>
      </c>
      <c r="F72" s="24" t="str">
        <f t="shared" si="27"/>
        <v>-1,6347497246543-6,19401066757589i</v>
      </c>
      <c r="G72" s="24" t="str">
        <f t="shared" si="20"/>
        <v>-0,977352503789418-6,32475729852603i</v>
      </c>
      <c r="H72" s="24" t="str">
        <f t="shared" si="28"/>
        <v>6,48323054976999-1,6347497246543i</v>
      </c>
      <c r="I72" s="24" t="str">
        <f t="shared" si="29"/>
        <v>6,58499121789012-1,3105881971658i</v>
      </c>
      <c r="J72" s="24" t="str">
        <f t="shared" si="30"/>
        <v>6,56878314151569-1,30550016375979i</v>
      </c>
      <c r="K72" s="24" t="str">
        <f t="shared" si="31"/>
        <v>6,65305398331127-0,977871410502731i</v>
      </c>
      <c r="L72" s="25"/>
      <c r="M72" s="24">
        <f t="shared" si="21"/>
        <v>6.95</v>
      </c>
      <c r="N72" s="24">
        <f t="shared" si="22"/>
        <v>7</v>
      </c>
      <c r="O72" s="24" t="str">
        <f t="shared" si="23"/>
        <v>-1,3105881971658-6,27574815380861i</v>
      </c>
      <c r="P72" s="24" t="str">
        <f t="shared" si="24"/>
        <v>-1,30550016375979-6,25954007743418i</v>
      </c>
      <c r="Q72" s="37" t="str">
        <f t="shared" si="25"/>
        <v>-0,977871410502731-6,32456068395187i</v>
      </c>
      <c r="R72" s="36"/>
    </row>
    <row r="73" spans="4:18" x14ac:dyDescent="0.45">
      <c r="D73" s="27">
        <v>70</v>
      </c>
      <c r="E73" s="26">
        <f t="shared" si="26"/>
        <v>7</v>
      </c>
      <c r="F73" s="24" t="str">
        <f t="shared" si="27"/>
        <v>-0,977352503789418-6,32475729852603i</v>
      </c>
      <c r="G73" s="24" t="str">
        <f t="shared" si="20"/>
        <v>-0,306426699429343-6,38902969513205i</v>
      </c>
      <c r="H73" s="24" t="str">
        <f t="shared" si="28"/>
        <v>6,65325059788542-0,977352503789418i</v>
      </c>
      <c r="I73" s="24" t="str">
        <f t="shared" si="29"/>
        <v>6,72054739618038-0,644689973895147i</v>
      </c>
      <c r="J73" s="24" t="str">
        <f t="shared" si="30"/>
        <v>6,70391426968567-0,641325133980399i</v>
      </c>
      <c r="K73" s="24" t="str">
        <f t="shared" si="31"/>
        <v>6,75337433198701-0,306961076820851i</v>
      </c>
      <c r="L73" s="25"/>
      <c r="M73" s="24">
        <f t="shared" si="21"/>
        <v>7.05</v>
      </c>
      <c r="N73" s="24">
        <f t="shared" si="22"/>
        <v>7.1</v>
      </c>
      <c r="O73" s="24" t="str">
        <f t="shared" si="23"/>
        <v>-0,644689973895147-6,3736249237155i</v>
      </c>
      <c r="P73" s="24" t="str">
        <f t="shared" si="24"/>
        <v>-0,641325133980399-6,35699179722079i</v>
      </c>
      <c r="Q73" s="37" t="str">
        <f t="shared" si="25"/>
        <v>-0,306961076820851-6,38888981192407i</v>
      </c>
      <c r="R73" s="36"/>
    </row>
    <row r="74" spans="4:18" x14ac:dyDescent="0.45">
      <c r="D74" s="27">
        <v>71</v>
      </c>
      <c r="E74" s="26">
        <f t="shared" si="26"/>
        <v>7.1000000000000005</v>
      </c>
      <c r="F74" s="24" t="str">
        <f t="shared" si="27"/>
        <v>-0,306426699429343-6,38902969513205i</v>
      </c>
      <c r="G74" s="24" t="str">
        <f t="shared" si="20"/>
        <v>0,370977830793559-6,38582635910461i</v>
      </c>
      <c r="H74" s="24" t="str">
        <f t="shared" si="28"/>
        <v>6,75351421519499-0,306426699429343i</v>
      </c>
      <c r="I74" s="24" t="str">
        <f t="shared" si="29"/>
        <v>6,78548657628423+0,031249011330407i</v>
      </c>
      <c r="J74" s="24" t="str">
        <f t="shared" si="30"/>
        <v>6,76860279074624+0,032847629384868i</v>
      </c>
      <c r="K74" s="24" t="str">
        <f t="shared" si="31"/>
        <v>6,78257886411814+0,370433579645281i</v>
      </c>
      <c r="L74" s="25"/>
      <c r="M74" s="24">
        <f t="shared" si="21"/>
        <v>7.15</v>
      </c>
      <c r="N74" s="24">
        <f t="shared" si="22"/>
        <v>7.2</v>
      </c>
      <c r="O74" s="24" t="str">
        <f t="shared" si="23"/>
        <v>0,031249011330407-6,40435103010352i</v>
      </c>
      <c r="P74" s="24" t="str">
        <f t="shared" si="24"/>
        <v>0,032847629384868-6,38746724456553i</v>
      </c>
      <c r="Q74" s="37" t="str">
        <f t="shared" si="25"/>
        <v>0,370433579645281-6,38574493219356i</v>
      </c>
      <c r="R74" s="36"/>
    </row>
    <row r="75" spans="4:18" x14ac:dyDescent="0.45">
      <c r="D75" s="27">
        <v>72</v>
      </c>
      <c r="E75" s="26">
        <f t="shared" si="26"/>
        <v>7.2</v>
      </c>
      <c r="F75" s="24" t="str">
        <f t="shared" si="27"/>
        <v>0,370977830793559-6,38582635910461i</v>
      </c>
      <c r="G75" s="24" t="str">
        <f t="shared" si="20"/>
        <v>1,04771235437124-6,31485634360118i</v>
      </c>
      <c r="H75" s="24" t="str">
        <f t="shared" si="28"/>
        <v>6,78266029102919+0,370977830793559i</v>
      </c>
      <c r="I75" s="24" t="str">
        <f t="shared" si="29"/>
        <v>6,77881790707068+0,710110845345018i</v>
      </c>
      <c r="J75" s="24" t="str">
        <f t="shared" si="30"/>
        <v>6,76186125634311+0,709918726147093i</v>
      </c>
      <c r="K75" s="24" t="str">
        <f t="shared" si="31"/>
        <v>6,74005279680418+1,04716395642787i</v>
      </c>
      <c r="L75" s="25"/>
      <c r="M75" s="24">
        <f t="shared" si="21"/>
        <v>7.25</v>
      </c>
      <c r="N75" s="24">
        <f t="shared" si="22"/>
        <v>7.3</v>
      </c>
      <c r="O75" s="24" t="str">
        <f t="shared" si="23"/>
        <v>0,710110845345018-6,36727746756493i</v>
      </c>
      <c r="P75" s="24" t="str">
        <f t="shared" si="24"/>
        <v>0,709918726147093-6,35032081683736i</v>
      </c>
      <c r="Q75" s="37" t="str">
        <f t="shared" si="25"/>
        <v>1,04716395642787-6,3148344864899i</v>
      </c>
      <c r="R75" s="36"/>
    </row>
    <row r="76" spans="4:18" x14ac:dyDescent="0.45">
      <c r="D76" s="27">
        <v>73</v>
      </c>
      <c r="E76" s="26">
        <f t="shared" si="26"/>
        <v>7.3000000000000007</v>
      </c>
      <c r="F76" s="24" t="str">
        <f t="shared" si="27"/>
        <v>1,04771235437124-6,31485634360118i</v>
      </c>
      <c r="G76" s="24" t="str">
        <f t="shared" si="20"/>
        <v>1,71660449182155-6,17654538710966i</v>
      </c>
      <c r="H76" s="24" t="str">
        <f t="shared" si="28"/>
        <v>6,74007465391546+1,04771235437124i</v>
      </c>
      <c r="I76" s="24" t="str">
        <f t="shared" si="29"/>
        <v>6,70030408267906+1,38471608706701i</v>
      </c>
      <c r="J76" s="24" t="str">
        <f t="shared" si="30"/>
        <v>6,68345389604427+1,38272755850519i</v>
      </c>
      <c r="K76" s="24" t="str">
        <f t="shared" si="31"/>
        <v>6,62593763565647+1,71605774397567i</v>
      </c>
      <c r="L76" s="25"/>
      <c r="M76" s="24">
        <f t="shared" si="21"/>
        <v>7.3500000000000005</v>
      </c>
      <c r="N76" s="24">
        <f t="shared" si="22"/>
        <v>7.4</v>
      </c>
      <c r="O76" s="24" t="str">
        <f t="shared" si="23"/>
        <v>1,38471608706701-6,26247072588262i</v>
      </c>
      <c r="P76" s="24" t="str">
        <f t="shared" si="24"/>
        <v>1,38272755850519-6,24562053924783i</v>
      </c>
      <c r="Q76" s="37" t="str">
        <f t="shared" si="25"/>
        <v>1,71605774397567-6,17658358775066i</v>
      </c>
      <c r="R76" s="36"/>
    </row>
    <row r="77" spans="4:18" x14ac:dyDescent="0.45">
      <c r="D77" s="27">
        <v>74</v>
      </c>
      <c r="E77" s="26">
        <f t="shared" si="26"/>
        <v>7.4</v>
      </c>
      <c r="F77" s="24" t="str">
        <f t="shared" si="27"/>
        <v>1,71660449182155-6,17654538710966i</v>
      </c>
      <c r="G77" s="24" t="str">
        <f t="shared" si="20"/>
        <v>2,37053398402381-5,97203449094868i</v>
      </c>
      <c r="H77" s="24" t="str">
        <f t="shared" si="28"/>
        <v>6,62589943501547+1,71660449182155i</v>
      </c>
      <c r="I77" s="24" t="str">
        <f t="shared" si="29"/>
        <v>6,55046675043307+2,04789946357232i</v>
      </c>
      <c r="J77" s="24" t="str">
        <f t="shared" si="30"/>
        <v>6,53390200184553+2,0441278293432i</v>
      </c>
      <c r="K77" s="24" t="str">
        <f t="shared" si="31"/>
        <v>6,44113259256271+2,3699946920061i</v>
      </c>
      <c r="L77" s="25"/>
      <c r="M77" s="24">
        <f t="shared" si="21"/>
        <v>7.45</v>
      </c>
      <c r="N77" s="24">
        <f t="shared" si="22"/>
        <v>7.5</v>
      </c>
      <c r="O77" s="24" t="str">
        <f t="shared" si="23"/>
        <v>2,04789946357232-6,09071516251858i</v>
      </c>
      <c r="P77" s="24" t="str">
        <f t="shared" si="24"/>
        <v>2,0441278293432-6,07415041393104i</v>
      </c>
      <c r="Q77" s="37" t="str">
        <f t="shared" si="25"/>
        <v>2,3699946920061-5,97213260417534i</v>
      </c>
      <c r="R77" s="36"/>
    </row>
    <row r="78" spans="4:18" x14ac:dyDescent="0.45">
      <c r="D78" s="27">
        <v>75</v>
      </c>
      <c r="E78" s="26">
        <f t="shared" si="26"/>
        <v>7.5</v>
      </c>
      <c r="F78" s="24" t="str">
        <f t="shared" si="27"/>
        <v>2,37053398402381-5,97203449094868i</v>
      </c>
      <c r="G78" s="24" t="str">
        <f t="shared" si="20"/>
        <v>3,00250820094758-5,70317092630811i</v>
      </c>
      <c r="H78" s="24" t="str">
        <f t="shared" si="28"/>
        <v>6,44103447933605+2,37053398402381i</v>
      </c>
      <c r="I78" s="24" t="str">
        <f t="shared" si="29"/>
        <v>6,33058392488725+2,69258570799061i</v>
      </c>
      <c r="J78" s="24" t="str">
        <f t="shared" si="30"/>
        <v>6,31448133868891+2,68706318026817i</v>
      </c>
      <c r="K78" s="24" t="str">
        <f t="shared" si="31"/>
        <v>6,1872880089376+3,0019821178927i</v>
      </c>
      <c r="L78" s="25"/>
      <c r="M78" s="24">
        <f t="shared" si="21"/>
        <v>7.55</v>
      </c>
      <c r="N78" s="24">
        <f t="shared" si="22"/>
        <v>7.6</v>
      </c>
      <c r="O78" s="24" t="str">
        <f t="shared" si="23"/>
        <v>2,69258570799061-5,85350779174749i</v>
      </c>
      <c r="P78" s="24" t="str">
        <f t="shared" si="24"/>
        <v>2,68706318026817-5,83740520554915i</v>
      </c>
      <c r="Q78" s="37" t="str">
        <f t="shared" si="25"/>
        <v>3,0019821178927-5,70332817292186i</v>
      </c>
      <c r="R78" s="36"/>
    </row>
    <row r="79" spans="4:18" x14ac:dyDescent="0.45">
      <c r="D79" s="27">
        <v>76</v>
      </c>
      <c r="E79" s="26">
        <f t="shared" si="26"/>
        <v>7.6000000000000005</v>
      </c>
      <c r="F79" s="24" t="str">
        <f t="shared" si="27"/>
        <v>3,00250820094758-5,70317092630811i</v>
      </c>
      <c r="G79" s="24" t="str">
        <f t="shared" si="20"/>
        <v>3,60573659369827-5,37249173662898i</v>
      </c>
      <c r="H79" s="24" t="str">
        <f t="shared" si="28"/>
        <v>6,18713076232385+3,00250820094758i</v>
      </c>
      <c r="I79" s="24" t="str">
        <f t="shared" si="29"/>
        <v>6,04267940760383+3,31186473906377i</v>
      </c>
      <c r="J79" s="24" t="str">
        <f t="shared" si="30"/>
        <v>6,02721158069802+3,30464217132777i</v>
      </c>
      <c r="K79" s="24" t="str">
        <f t="shared" si="31"/>
        <v>5,86679082611383+3,60522935901738i</v>
      </c>
      <c r="L79" s="25"/>
      <c r="M79" s="24">
        <f t="shared" si="21"/>
        <v>7.65</v>
      </c>
      <c r="N79" s="24">
        <f t="shared" si="22"/>
        <v>7.7</v>
      </c>
      <c r="O79" s="24" t="str">
        <f t="shared" si="23"/>
        <v>3,31186473906377-5,55304551626073i</v>
      </c>
      <c r="P79" s="24" t="str">
        <f t="shared" si="24"/>
        <v>3,30464217132777-5,53757768935492i</v>
      </c>
      <c r="Q79" s="37" t="str">
        <f t="shared" si="25"/>
        <v>3,60522935901738-5,37270670917533i</v>
      </c>
      <c r="R79" s="36"/>
    </row>
    <row r="80" spans="4:18" x14ac:dyDescent="0.45">
      <c r="D80" s="27">
        <v>77</v>
      </c>
      <c r="E80" s="26">
        <f t="shared" si="26"/>
        <v>7.7</v>
      </c>
      <c r="F80" s="24" t="str">
        <f t="shared" si="27"/>
        <v>3,60573659369827-5,37249173662898i</v>
      </c>
      <c r="G80" s="24" t="str">
        <f t="shared" si="20"/>
        <v>4,17370330017764-4,98319988058093i</v>
      </c>
      <c r="H80" s="24" t="str">
        <f t="shared" si="28"/>
        <v>5,86657585356748+3,60573659369827i</v>
      </c>
      <c r="I80" s="24" t="str">
        <f t="shared" si="29"/>
        <v>5,68950429649966+3,89906538637664i</v>
      </c>
      <c r="J80" s="24" t="str">
        <f t="shared" si="30"/>
        <v>5,67483785686574+3,89021180852325i</v>
      </c>
      <c r="K80" s="24" t="str">
        <f t="shared" si="31"/>
        <v>5,48274222846396+4,17322037938484i</v>
      </c>
      <c r="L80" s="25"/>
      <c r="M80" s="24">
        <f t="shared" si="21"/>
        <v>7.75</v>
      </c>
      <c r="N80" s="24">
        <f t="shared" si="22"/>
        <v>7.8</v>
      </c>
      <c r="O80" s="24" t="str">
        <f t="shared" si="23"/>
        <v>3,89906538637664-5,19220490694407i</v>
      </c>
      <c r="P80" s="24" t="str">
        <f t="shared" si="24"/>
        <v>3,89021180852325-5,17753846731015i</v>
      </c>
      <c r="Q80" s="37" t="str">
        <f t="shared" si="25"/>
        <v>4,17322037938484-4,98347055577666i</v>
      </c>
      <c r="R80" s="36"/>
    </row>
    <row r="81" spans="4:18" x14ac:dyDescent="0.45">
      <c r="D81" s="27">
        <v>78</v>
      </c>
      <c r="E81" s="26">
        <f t="shared" si="26"/>
        <v>7.8000000000000007</v>
      </c>
      <c r="F81" s="24" t="str">
        <f t="shared" si="27"/>
        <v>4,17370330017764-4,98319988058093i</v>
      </c>
      <c r="G81" s="24" t="str">
        <f t="shared" si="20"/>
        <v>4,7002371313797-4,53913323909844i</v>
      </c>
      <c r="H81" s="24" t="str">
        <f t="shared" si="28"/>
        <v>5,48247155326823+4,17370330017764i</v>
      </c>
      <c r="I81" s="24" t="str">
        <f t="shared" si="29"/>
        <v>5,27451075222501+4,44782687784105i</v>
      </c>
      <c r="J81" s="24" t="str">
        <f t="shared" si="30"/>
        <v>5,26080457334184+4,43742883778889i</v>
      </c>
      <c r="K81" s="24" t="str">
        <f t="shared" si="31"/>
        <v>5,03892766772193+4,69978375751182i</v>
      </c>
      <c r="L81" s="25"/>
      <c r="M81" s="24">
        <f t="shared" si="21"/>
        <v>7.8500000000000005</v>
      </c>
      <c r="N81" s="24">
        <f t="shared" si="22"/>
        <v>7.9</v>
      </c>
      <c r="O81" s="24" t="str">
        <f t="shared" si="23"/>
        <v>4,44782687784105-4,77451471557205i</v>
      </c>
      <c r="P81" s="24" t="str">
        <f t="shared" si="24"/>
        <v>4,43742883778889-4,76080853668888i</v>
      </c>
      <c r="Q81" s="37" t="str">
        <f t="shared" si="25"/>
        <v>4,69978375751182-4,53945699680204i</v>
      </c>
      <c r="R81" s="36"/>
    </row>
    <row r="82" spans="4:18" x14ac:dyDescent="0.45">
      <c r="D82" s="27">
        <v>79</v>
      </c>
      <c r="E82" s="26">
        <f t="shared" si="26"/>
        <v>7.9</v>
      </c>
      <c r="F82" s="24" t="str">
        <f t="shared" si="27"/>
        <v>4,7002371313797-4,53913323909844i</v>
      </c>
      <c r="G82" s="24" t="str">
        <f t="shared" si="20"/>
        <v>5,17957819026333-4,0447267860562i</v>
      </c>
      <c r="H82" s="24" t="str">
        <f t="shared" si="28"/>
        <v>5,03860391001833+4,7002371313797i</v>
      </c>
      <c r="I82" s="24" t="str">
        <f t="shared" si="29"/>
        <v>4,80181827115827+4,95216732688062i</v>
      </c>
      <c r="J82" s="24" t="str">
        <f t="shared" si="30"/>
        <v>4,78922176138322+4,94032804493761i</v>
      </c>
      <c r="K82" s="24" t="str">
        <f t="shared" si="31"/>
        <v>4,53977955791637+5,17915930751802i</v>
      </c>
      <c r="L82" s="25"/>
      <c r="M82" s="24">
        <f t="shared" si="21"/>
        <v>7.95</v>
      </c>
      <c r="N82" s="24">
        <f t="shared" si="22"/>
        <v>8</v>
      </c>
      <c r="O82" s="24" t="str">
        <f t="shared" si="23"/>
        <v>4,95216732688062-4,30412138252946i</v>
      </c>
      <c r="P82" s="24" t="str">
        <f t="shared" si="24"/>
        <v>4,94032804493761-4,29152487275441i</v>
      </c>
      <c r="Q82" s="37" t="str">
        <f t="shared" si="25"/>
        <v>5,17915930751802-4,04510043460468i</v>
      </c>
      <c r="R82" s="36"/>
    </row>
    <row r="83" spans="4:18" x14ac:dyDescent="0.45">
      <c r="D83" s="27">
        <v>80</v>
      </c>
      <c r="E83" s="26">
        <f t="shared" si="26"/>
        <v>8</v>
      </c>
      <c r="F83" s="24" t="str">
        <f t="shared" si="27"/>
        <v>5,17957819026333-4,0447267860562i</v>
      </c>
      <c r="G83" s="24" t="str">
        <f t="shared" si="20"/>
        <v>5,60644040802524-3,50496829539103i</v>
      </c>
      <c r="H83" s="24" t="str">
        <f t="shared" si="28"/>
        <v>4,53940590936789+5,17957819026333i</v>
      </c>
      <c r="I83" s="24" t="str">
        <f t="shared" si="29"/>
        <v>4,27617279435323+5,40654848573172i</v>
      </c>
      <c r="J83" s="24" t="str">
        <f t="shared" si="30"/>
        <v>4,26482427957981+5,39338682998099i</v>
      </c>
      <c r="K83" s="24" t="str">
        <f t="shared" si="31"/>
        <v>3,99033300848064+5,60606061822131i</v>
      </c>
      <c r="L83" s="25"/>
      <c r="M83" s="24">
        <f t="shared" si="21"/>
        <v>8.0500000000000007</v>
      </c>
      <c r="N83" s="24">
        <f t="shared" si="22"/>
        <v>8.1</v>
      </c>
      <c r="O83" s="24" t="str">
        <f t="shared" si="23"/>
        <v>5,40654848573172-3,78574787654303i</v>
      </c>
      <c r="P83" s="24" t="str">
        <f t="shared" si="24"/>
        <v>5,39338682998099-3,77439936176961i</v>
      </c>
      <c r="Q83" s="37" t="str">
        <f t="shared" si="25"/>
        <v>5,60606061822131-3,5053881030581i</v>
      </c>
      <c r="R83" s="36"/>
    </row>
    <row r="84" spans="4:18" x14ac:dyDescent="0.45">
      <c r="D84" s="27">
        <v>81</v>
      </c>
      <c r="E84" s="26">
        <f t="shared" si="26"/>
        <v>8.1</v>
      </c>
      <c r="F84" s="24" t="str">
        <f t="shared" si="27"/>
        <v>5,60644040802524-3,50496829539103i</v>
      </c>
      <c r="G84" s="24" t="str">
        <f t="shared" si="20"/>
        <v>5,97606932312038-2,9253480270311i</v>
      </c>
      <c r="H84" s="24" t="str">
        <f t="shared" si="28"/>
        <v>3,98991320081357+5,60644040802524i</v>
      </c>
      <c r="I84" s="24" t="str">
        <f t="shared" si="29"/>
        <v>3,70289905831552+5,80593606806592i</v>
      </c>
      <c r="J84" s="24" t="str">
        <f t="shared" si="30"/>
        <v>3,69292427531348+5,79158536094102i</v>
      </c>
      <c r="K84" s="24" t="str">
        <f t="shared" si="31"/>
        <v>3,39617503763682+5,97573283555659i</v>
      </c>
      <c r="L84" s="25"/>
      <c r="M84" s="24">
        <f t="shared" si="21"/>
        <v>8.15</v>
      </c>
      <c r="N84" s="24">
        <f t="shared" si="22"/>
        <v>8.1999999999999993</v>
      </c>
      <c r="O84" s="24" t="str">
        <f t="shared" si="23"/>
        <v>5,80593606806592-3,22464627498977i</v>
      </c>
      <c r="P84" s="24" t="str">
        <f t="shared" si="24"/>
        <v>5,79158536094102-3,21467149198773i</v>
      </c>
      <c r="Q84" s="37" t="str">
        <f t="shared" si="25"/>
        <v>5,97573283555659-2,92580975929693i</v>
      </c>
      <c r="R84" s="36"/>
    </row>
    <row r="85" spans="4:18" x14ac:dyDescent="0.45">
      <c r="D85" s="27">
        <v>82</v>
      </c>
      <c r="E85" s="26">
        <f t="shared" si="26"/>
        <v>8.2000000000000011</v>
      </c>
      <c r="F85" s="24" t="str">
        <f t="shared" si="27"/>
        <v>5,97606932312038-2,9253480270311i</v>
      </c>
      <c r="G85" s="24" t="str">
        <f t="shared" si="20"/>
        <v>6,28429447613855-2,3118028991289i</v>
      </c>
      <c r="H85" s="24" t="str">
        <f t="shared" si="28"/>
        <v>3,39571330537099+5,97606932312038i</v>
      </c>
      <c r="I85" s="24" t="str">
        <f t="shared" si="29"/>
        <v>3,08784666599475+6,14585498838893i</v>
      </c>
      <c r="J85" s="24" t="str">
        <f t="shared" si="30"/>
        <v>3,07935738273132+6,13046165642012i</v>
      </c>
      <c r="K85" s="24" t="str">
        <f t="shared" si="31"/>
        <v>2,76338777826724+6,28400506139351i</v>
      </c>
      <c r="L85" s="25"/>
      <c r="M85" s="24">
        <f t="shared" si="21"/>
        <v>8.2500000000000018</v>
      </c>
      <c r="N85" s="24">
        <f t="shared" si="22"/>
        <v>8.3000000000000007</v>
      </c>
      <c r="O85" s="24" t="str">
        <f t="shared" si="23"/>
        <v>6,14585498838893-2,62654456087508i</v>
      </c>
      <c r="P85" s="24" t="str">
        <f t="shared" si="24"/>
        <v>6,13046165642012-2,61805527761165i</v>
      </c>
      <c r="Q85" s="37" t="str">
        <f t="shared" si="25"/>
        <v>6,28400506139351-2,31230186138909i</v>
      </c>
      <c r="R85" s="36"/>
    </row>
    <row r="86" spans="4:18" x14ac:dyDescent="0.45">
      <c r="D86" s="27">
        <v>83</v>
      </c>
      <c r="E86" s="26">
        <f t="shared" si="26"/>
        <v>8.3000000000000007</v>
      </c>
      <c r="F86" s="24" t="str">
        <f t="shared" si="27"/>
        <v>6,28429447613855-2,3118028991289i</v>
      </c>
      <c r="G86" s="24" t="str">
        <f t="shared" si="20"/>
        <v>6,52757584816714-1,67065571411148i</v>
      </c>
      <c r="H86" s="24" t="str">
        <f t="shared" si="28"/>
        <v>2,76288881600705+6,28429447613855i</v>
      </c>
      <c r="I86" s="24" t="str">
        <f t="shared" si="29"/>
        <v>2,4373304240874+6,4224389169389i</v>
      </c>
      <c r="J86" s="24" t="str">
        <f t="shared" si="30"/>
        <v>2,43042320204738+6,40616099734292i</v>
      </c>
      <c r="K86" s="24" t="str">
        <f t="shared" si="31"/>
        <v>2,09848625343875+6,52733679634329i</v>
      </c>
      <c r="L86" s="25"/>
      <c r="M86" s="24">
        <f t="shared" si="21"/>
        <v>8.3500000000000014</v>
      </c>
      <c r="N86" s="24">
        <f t="shared" si="22"/>
        <v>8.4</v>
      </c>
      <c r="O86" s="24" t="str">
        <f t="shared" si="23"/>
        <v>6,4224389169389-1,99758817532197i</v>
      </c>
      <c r="P86" s="24" t="str">
        <f t="shared" si="24"/>
        <v>6,40616099734292-1,99068095328195i</v>
      </c>
      <c r="Q86" s="37" t="str">
        <f t="shared" si="25"/>
        <v>6,52733679634329-1,67118679939461i</v>
      </c>
      <c r="R86" s="36"/>
    </row>
    <row r="87" spans="4:18" x14ac:dyDescent="0.45">
      <c r="D87" s="27">
        <v>84</v>
      </c>
      <c r="E87" s="26">
        <f t="shared" si="26"/>
        <v>8.4</v>
      </c>
      <c r="F87" s="24" t="str">
        <f t="shared" si="27"/>
        <v>6,52757584816714-1,67065571411148i</v>
      </c>
      <c r="G87" s="24" t="str">
        <f t="shared" si="20"/>
        <v>6,70304383099786-1,00855006031129i</v>
      </c>
      <c r="H87" s="24" t="str">
        <f t="shared" si="28"/>
        <v>2,09795516815562+6,52757584816714i</v>
      </c>
      <c r="I87" s="24" t="str">
        <f t="shared" si="29"/>
        <v>1,75806555492411+6,63247360657492i</v>
      </c>
      <c r="J87" s="24" t="str">
        <f t="shared" si="30"/>
        <v>1,75282066700372+6,61547912591335i</v>
      </c>
      <c r="K87" s="24" t="str">
        <f t="shared" si="31"/>
        <v>1,40835135783189+6,70285791486751i</v>
      </c>
      <c r="L87" s="25"/>
      <c r="M87" s="24">
        <f t="shared" si="21"/>
        <v>8.4500000000000011</v>
      </c>
      <c r="N87" s="24">
        <f t="shared" si="22"/>
        <v>8.5</v>
      </c>
      <c r="O87" s="24" t="str">
        <f t="shared" si="23"/>
        <v>6,63247360657492-1,34427692170312i</v>
      </c>
      <c r="P87" s="24" t="str">
        <f t="shared" si="24"/>
        <v>6,61547912591335-1,33903203378273i</v>
      </c>
      <c r="Q87" s="37" t="str">
        <f t="shared" si="25"/>
        <v>6,70285791486751-1,00910780152014i</v>
      </c>
      <c r="R87" s="36"/>
    </row>
    <row r="88" spans="4:18" x14ac:dyDescent="0.45">
      <c r="D88" s="27">
        <v>85</v>
      </c>
      <c r="E88" s="26">
        <f t="shared" si="26"/>
        <v>8.5</v>
      </c>
      <c r="F88" s="24" t="str">
        <f t="shared" si="27"/>
        <v>6,70304383099786-1,00855006031129i</v>
      </c>
      <c r="G88" s="24" t="str">
        <f t="shared" si="20"/>
        <v>6,80853228385174-0,332381558833218i</v>
      </c>
      <c r="H88" s="24" t="str">
        <f t="shared" si="28"/>
        <v>1,40779361662304+6,70304383099786i</v>
      </c>
      <c r="I88" s="24" t="str">
        <f t="shared" si="29"/>
        <v>1,05709844719514+6,77343351182901i</v>
      </c>
      <c r="J88" s="24" t="str">
        <f t="shared" si="30"/>
        <v>1,05357896315358+6,75589875335762i</v>
      </c>
      <c r="K88" s="24" t="str">
        <f t="shared" si="31"/>
        <v>0,700158733912585+6,80840172731322i</v>
      </c>
      <c r="L88" s="25"/>
      <c r="M88" s="24">
        <f t="shared" si="21"/>
        <v>8.5500000000000007</v>
      </c>
      <c r="N88" s="24">
        <f t="shared" si="22"/>
        <v>8.6</v>
      </c>
      <c r="O88" s="24" t="str">
        <f t="shared" si="23"/>
        <v>6,77343351182901-0,673397868761397i</v>
      </c>
      <c r="P88" s="24" t="str">
        <f t="shared" si="24"/>
        <v>6,75589875335762-0,669878384719839i</v>
      </c>
      <c r="Q88" s="37" t="str">
        <f t="shared" si="25"/>
        <v>6,80840172731322-0,332960184975528i</v>
      </c>
      <c r="R88" s="36"/>
    </row>
    <row r="89" spans="4:18" x14ac:dyDescent="0.45">
      <c r="D89" s="27">
        <v>86</v>
      </c>
      <c r="E89" s="26">
        <f t="shared" si="26"/>
        <v>8.6</v>
      </c>
      <c r="F89" s="24" t="str">
        <f t="shared" si="27"/>
        <v>6,80853228385174-0,332381558833218i</v>
      </c>
      <c r="G89" s="24" t="str">
        <f t="shared" si="20"/>
        <v>6,84260430252163+0,350773833677597i</v>
      </c>
      <c r="H89" s="24" t="str">
        <f t="shared" si="28"/>
        <v>0,699580107770275+6,80853228385174i</v>
      </c>
      <c r="I89" s="24" t="str">
        <f t="shared" si="29"/>
        <v>0,341733658941965+6,84351128924025i</v>
      </c>
      <c r="J89" s="24" t="str">
        <f t="shared" si="30"/>
        <v>0,339984708672539+6,82561896679884i</v>
      </c>
      <c r="K89" s="24" t="str">
        <f t="shared" si="31"/>
        <v>-0,0186957228055744+6,84253075471899i</v>
      </c>
      <c r="L89" s="25"/>
      <c r="M89" s="24">
        <f t="shared" si="21"/>
        <v>8.65</v>
      </c>
      <c r="N89" s="24">
        <f t="shared" si="22"/>
        <v>8.6999999999999993</v>
      </c>
      <c r="O89" s="24" t="str">
        <f t="shared" si="23"/>
        <v>6,84351128924025+0,008045055359369i</v>
      </c>
      <c r="P89" s="24" t="str">
        <f t="shared" si="24"/>
        <v>6,82561896679884+0,00979400562879501i</v>
      </c>
      <c r="Q89" s="37" t="str">
        <f t="shared" si="25"/>
        <v>6,84253075471899+0,350180337846666i</v>
      </c>
      <c r="R89" s="36"/>
    </row>
    <row r="90" spans="4:18" x14ac:dyDescent="0.45">
      <c r="D90" s="27">
        <v>87</v>
      </c>
      <c r="E90" s="26">
        <f t="shared" si="26"/>
        <v>8.7000000000000011</v>
      </c>
      <c r="F90" s="24" t="str">
        <f t="shared" si="27"/>
        <v>6,84260430252163+0,350773833677597i</v>
      </c>
      <c r="G90" s="24" t="str">
        <f t="shared" si="20"/>
        <v>6,80457040223206+1,03373372203069i</v>
      </c>
      <c r="H90" s="24" t="str">
        <f t="shared" si="28"/>
        <v>-0,019289218636506+6,84260430252163i</v>
      </c>
      <c r="I90" s="24" t="str">
        <f t="shared" si="29"/>
        <v>-0,380542071926582+6,8416398415898i</v>
      </c>
      <c r="J90" s="24" t="str">
        <f t="shared" si="30"/>
        <v>-0,380493848879992+6,8235771989253i</v>
      </c>
      <c r="K90" s="24" t="str">
        <f t="shared" si="31"/>
        <v>-0,740672957124249+6,80455491763363i</v>
      </c>
      <c r="L90" s="25"/>
      <c r="M90" s="24">
        <f t="shared" si="21"/>
        <v>8.7500000000000018</v>
      </c>
      <c r="N90" s="24">
        <f t="shared" si="22"/>
        <v>8.8000000000000007</v>
      </c>
      <c r="O90" s="24" t="str">
        <f t="shared" si="23"/>
        <v>6,8416398415898+0,692904048803678i</v>
      </c>
      <c r="P90" s="24" t="str">
        <f t="shared" si="24"/>
        <v>6,8235771989253+0,692855825757087i</v>
      </c>
      <c r="Q90" s="37" t="str">
        <f t="shared" si="25"/>
        <v>6,80455491763363+1,03313155357013i</v>
      </c>
      <c r="R90" s="36"/>
    </row>
    <row r="91" spans="4:18" x14ac:dyDescent="0.45">
      <c r="D91" s="27">
        <v>88</v>
      </c>
      <c r="E91" s="26">
        <f t="shared" si="26"/>
        <v>8.8000000000000007</v>
      </c>
      <c r="F91" s="24" t="str">
        <f t="shared" si="27"/>
        <v>6,80457040223206+1,03373372203069i</v>
      </c>
      <c r="G91" s="24" t="str">
        <f t="shared" si="20"/>
        <v>6,69449889431344+1,70928459895658i</v>
      </c>
      <c r="H91" s="24" t="str">
        <f t="shared" si="28"/>
        <v>-0,741275125584809+6,80457040223206i</v>
      </c>
      <c r="I91" s="24" t="str">
        <f t="shared" si="29"/>
        <v>-1,10213802030925+6,76750664595282i</v>
      </c>
      <c r="J91" s="24" t="str">
        <f t="shared" si="30"/>
        <v>-1,10028483249529+6,7494635012166i</v>
      </c>
      <c r="K91" s="24" t="str">
        <f t="shared" si="31"/>
        <v>-1,45816964392341+6,69454191898253i</v>
      </c>
      <c r="L91" s="25"/>
      <c r="M91" s="24">
        <f t="shared" si="21"/>
        <v>8.8500000000000014</v>
      </c>
      <c r="N91" s="24">
        <f t="shared" si="22"/>
        <v>8.9</v>
      </c>
      <c r="O91" s="24" t="str">
        <f t="shared" si="23"/>
        <v>6,76750664595282+1,37396224214229i</v>
      </c>
      <c r="P91" s="24" t="str">
        <f t="shared" si="24"/>
        <v>6,7494635012166+1,37210905432833i</v>
      </c>
      <c r="Q91" s="37" t="str">
        <f t="shared" si="25"/>
        <v>6,69454191898253+1,70868007215235i</v>
      </c>
      <c r="R91" s="36"/>
    </row>
    <row r="92" spans="4:18" x14ac:dyDescent="0.45">
      <c r="D92" s="27">
        <v>89</v>
      </c>
      <c r="E92" s="26">
        <f t="shared" si="26"/>
        <v>8.9</v>
      </c>
      <c r="F92" s="24" t="str">
        <f t="shared" si="27"/>
        <v>6,69449889431344+1,70928459895658i</v>
      </c>
      <c r="G92" s="24" t="str">
        <f t="shared" si="20"/>
        <v>6,51321831816367+2,37025781281357i</v>
      </c>
      <c r="H92" s="24" t="str">
        <f t="shared" si="28"/>
        <v>-1,45877417072764+6,69449889431344i</v>
      </c>
      <c r="I92" s="24" t="str">
        <f t="shared" si="29"/>
        <v>-1,81543905465467+6,62156018577706i</v>
      </c>
      <c r="J92" s="24" t="str">
        <f t="shared" si="30"/>
        <v>-1,81179211922785+6,60372694158071i</v>
      </c>
      <c r="K92" s="24" t="str">
        <f t="shared" si="31"/>
        <v>-2,16359805049377+6,51331968239065i</v>
      </c>
      <c r="L92" s="25"/>
      <c r="M92" s="24">
        <f t="shared" si="21"/>
        <v>8.9500000000000011</v>
      </c>
      <c r="N92" s="24">
        <f t="shared" si="22"/>
        <v>9</v>
      </c>
      <c r="O92" s="24" t="str">
        <f t="shared" si="23"/>
        <v>6,62156018577706+2,04400954367225i</v>
      </c>
      <c r="P92" s="24" t="str">
        <f t="shared" si="24"/>
        <v>6,60372694158071+2,04036260824543i</v>
      </c>
      <c r="Q92" s="37" t="str">
        <f t="shared" si="25"/>
        <v>6,51331968239065+2,36965729311465i</v>
      </c>
      <c r="R92" s="36"/>
    </row>
    <row r="93" spans="4:18" x14ac:dyDescent="0.45">
      <c r="D93" s="27">
        <v>90</v>
      </c>
      <c r="E93" s="26">
        <f t="shared" si="26"/>
        <v>9</v>
      </c>
      <c r="F93" s="24" t="str">
        <f t="shared" si="27"/>
        <v>6,51321831816367+2,37025781281357i</v>
      </c>
      <c r="G93" s="24" t="str">
        <f t="shared" si="20"/>
        <v>6,26231187307879+3,00960537859602i</v>
      </c>
      <c r="H93" s="24" t="str">
        <f t="shared" si="28"/>
        <v>-2,16419857019269+6,51321831816367i</v>
      </c>
      <c r="I93" s="24" t="str">
        <f t="shared" si="29"/>
        <v>-2,51288577329054+6,40500838965404i</v>
      </c>
      <c r="J93" s="24" t="str">
        <f t="shared" si="30"/>
        <v>-2,50747527686506+6,38757402949914i</v>
      </c>
      <c r="K93" s="24" t="str">
        <f t="shared" si="31"/>
        <v>-2,8494660345888+6,26247079047716i</v>
      </c>
      <c r="L93" s="25"/>
      <c r="M93" s="24">
        <f t="shared" si="21"/>
        <v>9.0500000000000007</v>
      </c>
      <c r="N93" s="24">
        <f t="shared" si="22"/>
        <v>9.1</v>
      </c>
      <c r="O93" s="24" t="str">
        <f t="shared" si="23"/>
        <v>6,40500838965404+2,69591872872175i</v>
      </c>
      <c r="P93" s="24" t="str">
        <f t="shared" si="24"/>
        <v>6,38757402949914+2,69050823229627i</v>
      </c>
      <c r="Q93" s="37" t="str">
        <f t="shared" si="25"/>
        <v>6,26247079047716+3,00901521576348i</v>
      </c>
      <c r="R93" s="36"/>
    </row>
    <row r="94" spans="4:18" x14ac:dyDescent="0.45">
      <c r="D94" s="27">
        <v>91</v>
      </c>
      <c r="E94" s="26">
        <f t="shared" si="26"/>
        <v>9.1</v>
      </c>
      <c r="F94" s="24" t="str">
        <f t="shared" si="27"/>
        <v>6,26231187307879+3,00960537859602i</v>
      </c>
      <c r="G94" s="24" t="str">
        <f t="shared" si="20"/>
        <v>5,94410387850738+3,62047483295837i</v>
      </c>
      <c r="H94" s="24" t="str">
        <f t="shared" si="28"/>
        <v>-2,85005619742134+6,26231187307879i</v>
      </c>
      <c r="I94" s="24" t="str">
        <f t="shared" si="29"/>
        <v>-3,18705435519314+6,11980906320772i</v>
      </c>
      <c r="J94" s="24" t="str">
        <f t="shared" si="30"/>
        <v>-3,17992921469959+6,10295915531913i</v>
      </c>
      <c r="K94" s="24" t="str">
        <f t="shared" si="31"/>
        <v>-3,50845633707781+5,94431895160883i</v>
      </c>
      <c r="L94" s="25"/>
      <c r="M94" s="24">
        <f t="shared" si="21"/>
        <v>9.15</v>
      </c>
      <c r="N94" s="24">
        <f t="shared" si="22"/>
        <v>9.1999999999999993</v>
      </c>
      <c r="O94" s="24" t="str">
        <f t="shared" si="23"/>
        <v>6,11980906320772+3,32272097224996i</v>
      </c>
      <c r="P94" s="24" t="str">
        <f t="shared" si="24"/>
        <v>6,10295915531913+3,31559583175641i</v>
      </c>
      <c r="Q94" s="37" t="str">
        <f t="shared" si="25"/>
        <v>5,94431895160883+3,61990129412793i</v>
      </c>
      <c r="R94" s="36"/>
    </row>
    <row r="95" spans="4:18" x14ac:dyDescent="0.45">
      <c r="D95" s="27">
        <v>92</v>
      </c>
      <c r="E95" s="26">
        <f t="shared" si="26"/>
        <v>9.2000000000000011</v>
      </c>
      <c r="F95" s="24" t="str">
        <f t="shared" si="27"/>
        <v>5,94410387850738+3,62047483295837i</v>
      </c>
      <c r="G95" s="24" t="str">
        <f t="shared" si="20"/>
        <v>5,56163837524176+4,19628234102643i</v>
      </c>
      <c r="H95" s="24" t="str">
        <f t="shared" si="28"/>
        <v>-3,50902987590825+5,94410387850738i</v>
      </c>
      <c r="I95" s="24" t="str">
        <f t="shared" si="29"/>
        <v>-3,83073528419352+5,76865238471197i</v>
      </c>
      <c r="J95" s="24" t="str">
        <f t="shared" si="30"/>
        <v>-3,82196270950375+5,7525671142977i</v>
      </c>
      <c r="K95" s="24" t="str">
        <f t="shared" si="31"/>
        <v>-4,13350433263461+5,56190760755701i</v>
      </c>
      <c r="L95" s="25"/>
      <c r="M95" s="24">
        <f t="shared" si="21"/>
        <v>9.2500000000000018</v>
      </c>
      <c r="N95" s="24">
        <f t="shared" si="22"/>
        <v>9.3000000000000007</v>
      </c>
      <c r="O95" s="24" t="str">
        <f t="shared" si="23"/>
        <v>5,76865238471197+3,91768002688374i</v>
      </c>
      <c r="P95" s="24" t="str">
        <f t="shared" si="24"/>
        <v>5,7525671142977+3,90890745219397i</v>
      </c>
      <c r="Q95" s="37" t="str">
        <f t="shared" si="25"/>
        <v>5,56190760755701+4,19573154438814i</v>
      </c>
      <c r="R95" s="36"/>
    </row>
    <row r="96" spans="4:18" x14ac:dyDescent="0.45">
      <c r="D96" s="27">
        <v>93</v>
      </c>
      <c r="E96" s="26">
        <f t="shared" si="26"/>
        <v>9.3000000000000007</v>
      </c>
      <c r="F96" s="24" t="str">
        <f t="shared" si="27"/>
        <v>5,56163837524176+4,19628234102643i</v>
      </c>
      <c r="G96" s="24" t="str">
        <f t="shared" si="20"/>
        <v>5,11865006312089+4,73078327818288i</v>
      </c>
      <c r="H96" s="24" t="str">
        <f t="shared" si="28"/>
        <v>-4,1340551292729+5,56163837524176i</v>
      </c>
      <c r="I96" s="24" t="str">
        <f t="shared" si="29"/>
        <v>-4,43701011459375+5,35493561877811i</v>
      </c>
      <c r="J96" s="24" t="str">
        <f t="shared" si="30"/>
        <v>-4,42667497677057+5,33978786951207i</v>
      </c>
      <c r="K96" s="24" t="str">
        <f t="shared" si="31"/>
        <v>-4,71787341525096+5,1189708775647i</v>
      </c>
      <c r="L96" s="25"/>
      <c r="M96" s="24">
        <f t="shared" si="21"/>
        <v>9.3500000000000014</v>
      </c>
      <c r="N96" s="24">
        <f t="shared" si="22"/>
        <v>9.4</v>
      </c>
      <c r="O96" s="24" t="str">
        <f t="shared" si="23"/>
        <v>5,35493561877811+4,47436425978852i</v>
      </c>
      <c r="P96" s="24" t="str">
        <f t="shared" si="24"/>
        <v>5,33978786951207+4,46402912196534i</v>
      </c>
      <c r="Q96" s="37" t="str">
        <f t="shared" si="25"/>
        <v>5,1189708775647+4,73026112797764i</v>
      </c>
      <c r="R96" s="36"/>
    </row>
    <row r="97" spans="4:18" x14ac:dyDescent="0.45">
      <c r="D97" s="27">
        <v>94</v>
      </c>
      <c r="E97" s="26">
        <f t="shared" si="26"/>
        <v>9.4</v>
      </c>
      <c r="F97" s="24" t="str">
        <f t="shared" si="27"/>
        <v>5,11865006312089+4,73078327818288i</v>
      </c>
      <c r="G97" s="24" t="str">
        <f t="shared" si="20"/>
        <v>4,61952785210959+5,21813953365436i</v>
      </c>
      <c r="H97" s="24" t="str">
        <f t="shared" si="28"/>
        <v>-4,7183955654562+5,11865006312089i</v>
      </c>
      <c r="I97" s="24" t="str">
        <f t="shared" si="29"/>
        <v>-4,99932546391076+4,88273028484808i</v>
      </c>
      <c r="J97" s="24" t="str">
        <f t="shared" si="30"/>
        <v>-4,98752947499711+4,86868378992535i</v>
      </c>
      <c r="K97" s="24" t="str">
        <f t="shared" si="31"/>
        <v>-5,25522721740631+4,61989711562118i</v>
      </c>
      <c r="L97" s="25"/>
      <c r="M97" s="24">
        <f t="shared" si="21"/>
        <v>9.4500000000000011</v>
      </c>
      <c r="N97" s="24">
        <f t="shared" si="22"/>
        <v>9.5</v>
      </c>
      <c r="O97" s="24" t="str">
        <f t="shared" si="23"/>
        <v>4,88273028484808+4,98671578133893i</v>
      </c>
      <c r="P97" s="24" t="str">
        <f t="shared" si="24"/>
        <v>4,86868378992535+4,97491979242528i</v>
      </c>
      <c r="Q97" s="37" t="str">
        <f t="shared" si="25"/>
        <v>4,61989711562118+5,21765165717541i</v>
      </c>
      <c r="R97" s="36"/>
    </row>
    <row r="98" spans="4:18" x14ac:dyDescent="0.45">
      <c r="D98" s="27">
        <v>95</v>
      </c>
      <c r="E98" s="26">
        <f t="shared" si="26"/>
        <v>9.5</v>
      </c>
      <c r="F98" s="24" t="str">
        <f t="shared" si="27"/>
        <v>4,61952785210959+5,21813953365436i</v>
      </c>
      <c r="G98" s="24" t="str">
        <f t="shared" si="20"/>
        <v>4,06927138227723+5,65298281437234i</v>
      </c>
      <c r="H98" s="24" t="str">
        <f t="shared" si="28"/>
        <v>-5,25571509388526+4,61952785210959i</v>
      </c>
      <c r="I98" s="24" t="str">
        <f t="shared" si="29"/>
        <v>-5,51156344481822+4,35674209741533i</v>
      </c>
      <c r="J98" s="24" t="str">
        <f t="shared" si="30"/>
        <v>-5,49842415708351+4,34394967986868i</v>
      </c>
      <c r="K98" s="24" t="str">
        <f t="shared" si="31"/>
        <v>-5,73969789225272+4,06968543640124i</v>
      </c>
      <c r="L98" s="25"/>
      <c r="M98" s="24">
        <f t="shared" si="21"/>
        <v>9.5500000000000007</v>
      </c>
      <c r="N98" s="24">
        <f t="shared" si="22"/>
        <v>9.6</v>
      </c>
      <c r="O98" s="24" t="str">
        <f t="shared" si="23"/>
        <v>4,35674209741533+5,44911592625984i</v>
      </c>
      <c r="P98" s="24" t="str">
        <f t="shared" si="24"/>
        <v>4,34394967986868+5,43597663852513i</v>
      </c>
      <c r="Q98" s="37" t="str">
        <f t="shared" si="25"/>
        <v>4,06968543640124+5,65253450164123i</v>
      </c>
      <c r="R98" s="36"/>
    </row>
    <row r="99" spans="4:18" x14ac:dyDescent="0.45">
      <c r="D99" s="27">
        <v>96</v>
      </c>
      <c r="E99" s="26">
        <f t="shared" si="26"/>
        <v>9.6000000000000014</v>
      </c>
      <c r="F99" s="24" t="str">
        <f t="shared" si="27"/>
        <v>4,06927138227723+5,65298281437234i</v>
      </c>
      <c r="G99" s="24" t="str">
        <f t="shared" ref="G99:G103" si="32">IMSUM(F99,IMPRODUCT((IMSUM(H99,IMPRODUCT(2,I99),IMPRODUCT(2,J99),K99)),$B$4/6))</f>
        <v>3,47344094339187+6,03047326692405i</v>
      </c>
      <c r="H99" s="24" t="str">
        <f t="shared" si="28"/>
        <v>-5,74014620498383+4,06927138227723i</v>
      </c>
      <c r="I99" s="24" t="str">
        <f t="shared" si="29"/>
        <v>-5,96810778306809+3,78226407202804i</v>
      </c>
      <c r="J99" s="24" t="str">
        <f t="shared" si="30"/>
        <v>-5,95375741755563+3,77086599312383i</v>
      </c>
      <c r="K99" s="24" t="str">
        <f t="shared" si="31"/>
        <v>-6,16594972689019+3,47389564052167i</v>
      </c>
      <c r="L99" s="25"/>
      <c r="M99" s="24">
        <f t="shared" si="21"/>
        <v>9.6500000000000021</v>
      </c>
      <c r="N99" s="24">
        <f t="shared" si="22"/>
        <v>9.7000000000000011</v>
      </c>
      <c r="O99" s="24" t="str">
        <f t="shared" si="23"/>
        <v>3,78226407202804+5,8564463834862i</v>
      </c>
      <c r="P99" s="24" t="str">
        <f t="shared" si="24"/>
        <v>3,77086599312383+5,84209601797374i</v>
      </c>
      <c r="Q99" s="37" t="str">
        <f t="shared" si="25"/>
        <v>3,47389564052167+6,03006941368472i</v>
      </c>
      <c r="R99" s="36"/>
    </row>
    <row r="100" spans="4:18" x14ac:dyDescent="0.45">
      <c r="D100" s="27">
        <v>97</v>
      </c>
      <c r="E100" s="26">
        <f t="shared" ref="E100:E103" si="33">D100*$B$4+$B$3</f>
        <v>9.7000000000000011</v>
      </c>
      <c r="F100" s="24" t="str">
        <f t="shared" si="27"/>
        <v>3,47344094339187+6,03047326692405i</v>
      </c>
      <c r="G100" s="24" t="str">
        <f t="shared" si="32"/>
        <v>2,83810129577216+6,34635278206659i</v>
      </c>
      <c r="H100" s="24" t="str">
        <f t="shared" si="28"/>
        <v>-6,16635358012952+3,47344094339187i</v>
      </c>
      <c r="I100" s="24" t="str">
        <f t="shared" si="29"/>
        <v>-6,36390491090478+3,16512326438539i</v>
      </c>
      <c r="J100" s="24" t="str">
        <f t="shared" si="30"/>
        <v>-6,34848902695446+3,15524569784663i</v>
      </c>
      <c r="K100" s="24" t="str">
        <f t="shared" si="31"/>
        <v>-6,52923740133467+2,83859204069642i</v>
      </c>
      <c r="L100" s="25"/>
      <c r="M100" s="24">
        <f t="shared" si="21"/>
        <v>9.7500000000000018</v>
      </c>
      <c r="N100" s="24">
        <f t="shared" si="22"/>
        <v>9.8000000000000007</v>
      </c>
      <c r="O100" s="24" t="str">
        <f t="shared" si="23"/>
        <v>3,16512326438539+6,20414531409364i</v>
      </c>
      <c r="P100" s="24" t="str">
        <f t="shared" si="24"/>
        <v>3,15524569784663+6,18872943014332i</v>
      </c>
      <c r="Q100" s="37" t="str">
        <f t="shared" si="25"/>
        <v>2,83859204069642+6,34599783670871i</v>
      </c>
      <c r="R100" s="36"/>
    </row>
    <row r="101" spans="4:18" x14ac:dyDescent="0.45">
      <c r="D101" s="27">
        <v>98</v>
      </c>
      <c r="E101" s="26">
        <f t="shared" si="33"/>
        <v>9.8000000000000007</v>
      </c>
      <c r="F101" s="24" t="str">
        <f t="shared" si="27"/>
        <v>2,83810129577216+6,34635278206659i</v>
      </c>
      <c r="G101" s="24" t="str">
        <f t="shared" si="32"/>
        <v>2,16975995994105+6,59699239978138i</v>
      </c>
      <c r="H101" s="24" t="str">
        <f t="shared" si="28"/>
        <v>-6,52959234669255+2,83810129577216i</v>
      </c>
      <c r="I101" s="24" t="str">
        <f t="shared" si="29"/>
        <v>-6,69451937581375+2,51162167843753i</v>
      </c>
      <c r="J101" s="24" t="str">
        <f t="shared" si="30"/>
        <v>-6,67819539494702+2,50337532698147i</v>
      </c>
      <c r="K101" s="24" t="str">
        <f t="shared" si="31"/>
        <v>-6,8254582616524+2,17028175627746i</v>
      </c>
      <c r="L101" s="25"/>
      <c r="M101" s="24">
        <f t="shared" si="21"/>
        <v>9.8500000000000014</v>
      </c>
      <c r="N101" s="24">
        <f t="shared" si="22"/>
        <v>9.9</v>
      </c>
      <c r="O101" s="24" t="str">
        <f t="shared" si="23"/>
        <v>2,51162167843753+6,4882578468552i</v>
      </c>
      <c r="P101" s="24" t="str">
        <f t="shared" si="24"/>
        <v>2,50337532698147+6,47193386598847i</v>
      </c>
      <c r="Q101" s="37" t="str">
        <f t="shared" si="25"/>
        <v>2,17028175627746+6,59669031476474i</v>
      </c>
      <c r="R101" s="36"/>
    </row>
    <row r="102" spans="4:18" x14ac:dyDescent="0.45">
      <c r="D102" s="27">
        <v>99</v>
      </c>
      <c r="E102" s="26">
        <f t="shared" si="33"/>
        <v>9.9</v>
      </c>
      <c r="F102" s="24" t="str">
        <f t="shared" si="27"/>
        <v>2,16975995994105+6,59699239978138i</v>
      </c>
      <c r="G102" s="24" t="str">
        <f t="shared" si="32"/>
        <v>1,47530060279407+6,77943329265959i</v>
      </c>
      <c r="H102" s="24" t="str">
        <f t="shared" si="28"/>
        <v>-6,82576034666904+2,16975995994105i</v>
      </c>
      <c r="I102" s="24" t="str">
        <f t="shared" si="29"/>
        <v>-6,95618296186803+1,8284719426076i</v>
      </c>
      <c r="J102" s="24" t="str">
        <f t="shared" si="30"/>
        <v>-6,93911856100136+1,82195081184765i</v>
      </c>
      <c r="K102" s="24" t="str">
        <f t="shared" si="31"/>
        <v>-7,05119803641082+1,47584810384091i</v>
      </c>
      <c r="L102" s="25"/>
      <c r="M102" s="24">
        <f t="shared" si="21"/>
        <v>9.9500000000000011</v>
      </c>
      <c r="N102" s="24">
        <f t="shared" si="22"/>
        <v>10</v>
      </c>
      <c r="O102" s="24" t="str">
        <f t="shared" si="23"/>
        <v>1,8284719426076+6,70548039777843i</v>
      </c>
      <c r="P102" s="24" t="str">
        <f t="shared" si="24"/>
        <v>1,82195081184765+6,68841599691176i</v>
      </c>
      <c r="Q102" s="37" t="str">
        <f t="shared" si="25"/>
        <v>1,47584810384091+6,77918748096614i</v>
      </c>
      <c r="R102" s="36"/>
    </row>
    <row r="103" spans="4:18" x14ac:dyDescent="0.45">
      <c r="D103" s="27">
        <v>100</v>
      </c>
      <c r="E103" s="26">
        <f t="shared" si="33"/>
        <v>10</v>
      </c>
      <c r="F103" s="24" t="str">
        <f t="shared" si="27"/>
        <v>1,47530060279407+6,77943329265959i</v>
      </c>
      <c r="G103" s="24" t="str">
        <f t="shared" si="32"/>
        <v>0,761912201780603+6,89142087092529i</v>
      </c>
      <c r="H103" s="24" t="str">
        <f t="shared" si="28"/>
        <v>-7,05144384810427+1,47530060279407i</v>
      </c>
      <c r="I103" s="24" t="str">
        <f t="shared" si="29"/>
        <v>-7,14583698487081+1,12272841038886i</v>
      </c>
      <c r="J103" s="24" t="str">
        <f t="shared" si="30"/>
        <v>-7,12820837525055+1,11800875355053i</v>
      </c>
      <c r="K103" s="24" t="str">
        <f t="shared" si="31"/>
        <v>-7,20376949246108+0,762479765269015i</v>
      </c>
      <c r="L103" s="25"/>
      <c r="M103" s="24">
        <f t="shared" si="21"/>
        <v>10.050000000000001</v>
      </c>
      <c r="N103" s="24">
        <f t="shared" si="22"/>
        <v>10.1</v>
      </c>
      <c r="O103" s="24" t="str">
        <f t="shared" si="23"/>
        <v>1,12272841038886+6,85319832279929i</v>
      </c>
      <c r="P103" s="24" t="str">
        <f t="shared" si="24"/>
        <v>1,11800875355053+6,83556971317903i</v>
      </c>
      <c r="Q103" s="37" t="str">
        <f t="shared" si="25"/>
        <v>0,762479765269015+6,89123416801464i</v>
      </c>
      <c r="R103" s="36"/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4"/>
  <dimension ref="A2:H103"/>
  <sheetViews>
    <sheetView workbookViewId="0">
      <selection activeCell="B9" sqref="B9"/>
    </sheetView>
  </sheetViews>
  <sheetFormatPr defaultRowHeight="14.25" x14ac:dyDescent="0.45"/>
  <cols>
    <col min="3" max="3" width="4.86328125" customWidth="1"/>
    <col min="4" max="4" width="4" bestFit="1" customWidth="1"/>
    <col min="6" max="6" width="19.1328125" bestFit="1" customWidth="1"/>
    <col min="7" max="7" width="20.1328125" bestFit="1" customWidth="1"/>
    <col min="8" max="8" width="19.1328125" bestFit="1" customWidth="1"/>
  </cols>
  <sheetData>
    <row r="2" spans="1:8" x14ac:dyDescent="0.45">
      <c r="D2" s="31" t="s">
        <v>52</v>
      </c>
      <c r="E2" s="31" t="s">
        <v>8</v>
      </c>
      <c r="F2" s="31" t="s">
        <v>9</v>
      </c>
      <c r="G2" s="31" t="s">
        <v>10</v>
      </c>
      <c r="H2" s="31" t="s">
        <v>11</v>
      </c>
    </row>
    <row r="3" spans="1:8" x14ac:dyDescent="0.45">
      <c r="A3" s="31" t="s">
        <v>39</v>
      </c>
      <c r="B3" s="27">
        <f>Animação!E7</f>
        <v>0</v>
      </c>
      <c r="D3" s="27">
        <v>0</v>
      </c>
      <c r="E3" s="26">
        <f>B3</f>
        <v>0</v>
      </c>
      <c r="F3" s="42">
        <f>B5</f>
        <v>5</v>
      </c>
      <c r="G3" s="42">
        <f>B9</f>
        <v>10</v>
      </c>
      <c r="H3" s="26" t="str">
        <f t="shared" ref="H3:H4" si="0">IMSUM($B$8*SIN(E3)/$B$7,IMPRODUCT(-1*$B$6/$B$7,F3))</f>
        <v>-5</v>
      </c>
    </row>
    <row r="4" spans="1:8" x14ac:dyDescent="0.45">
      <c r="A4" s="31" t="s">
        <v>38</v>
      </c>
      <c r="B4" s="27">
        <f>Animação!E5</f>
        <v>0.1</v>
      </c>
      <c r="D4" s="27">
        <v>1</v>
      </c>
      <c r="E4" s="26">
        <f t="shared" ref="E4:E35" si="1">D4*$B$4+$B$3</f>
        <v>0.1</v>
      </c>
      <c r="F4" s="26" t="str">
        <f>((IMSUM(IMPRODUCT(COMPLEX(0,1),'Cálculo Y1'!F4),IMPRODUCT(COMPLEX(0,1),'Cálculo Y2'!F4))))</f>
        <v>5,97318756943576</v>
      </c>
      <c r="G4" s="26" t="str">
        <f>IMSUM(IMPRODUCT(($B$6/$B$7)^(1/2),'Cálculo Y1'!F4),IMPRODUCT((-1)*(($B$6/$B$7)^(1/2)),'Cálculo Y2'!F4))</f>
        <v>9,44588333003528</v>
      </c>
      <c r="H4" s="26" t="str">
        <f t="shared" si="0"/>
        <v>-6,07302098608259</v>
      </c>
    </row>
    <row r="5" spans="1:8" x14ac:dyDescent="0.45">
      <c r="A5" s="31" t="s">
        <v>60</v>
      </c>
      <c r="B5" s="27">
        <f>Animação!E1</f>
        <v>5</v>
      </c>
      <c r="D5" s="27">
        <v>2</v>
      </c>
      <c r="E5" s="26">
        <f t="shared" si="1"/>
        <v>0.2</v>
      </c>
      <c r="F5" s="26" t="str">
        <f>((IMSUM(IMPRODUCT(COMPLEX(0,1),'Cálculo Y1'!F5),IMPRODUCT(COMPLEX(0,1),'Cálculo Y2'!F5))))</f>
        <v>6,8856964388219</v>
      </c>
      <c r="G5" s="26" t="str">
        <f>IMSUM(IMPRODUCT(($B$6/$B$7)^(1/2),'Cálculo Y1'!F5),IMPRODUCT((-1)*(($B$6/$B$7)^(1/2)),'Cálculo Y2'!F5))</f>
        <v>8,7874532302238</v>
      </c>
      <c r="H5" s="26" t="str">
        <f>IMSUM($B$8*SIN(E5)/$B$7,IMPRODUCT(-1*$B$6/$B$7,F5))</f>
        <v>-7,08436576961696</v>
      </c>
    </row>
    <row r="6" spans="1:8" x14ac:dyDescent="0.45">
      <c r="A6" s="31" t="s">
        <v>36</v>
      </c>
      <c r="B6" s="27">
        <f>Animação!E3</f>
        <v>1</v>
      </c>
      <c r="D6" s="27">
        <v>3</v>
      </c>
      <c r="E6" s="26">
        <f t="shared" si="1"/>
        <v>0.30000000000000004</v>
      </c>
      <c r="F6" s="26" t="str">
        <f>((IMSUM(IMPRODUCT(COMPLEX(0,1),'Cálculo Y1'!F6),IMPRODUCT(COMPLEX(0,1),'Cálculo Y2'!F6))))</f>
        <v>7,727422426887</v>
      </c>
      <c r="G6" s="26" t="str">
        <f>IMSUM(IMPRODUCT(($B$6/$B$7)^(1/2),'Cálculo Y1'!F6),IMPRODUCT((-1)*(($B$6/$B$7)^(1/2)),'Cálculo Y2'!F6))</f>
        <v>8,03143763385168</v>
      </c>
      <c r="H6" s="26" t="str">
        <f t="shared" ref="H6:H69" si="2">IMSUM($B$8*SIN(E6)/$B$7,IMPRODUCT(-1*$B$6/$B$7,F6))</f>
        <v>-8,02294263354834</v>
      </c>
    </row>
    <row r="7" spans="1:8" x14ac:dyDescent="0.45">
      <c r="A7" s="31" t="s">
        <v>35</v>
      </c>
      <c r="B7" s="27">
        <f>Animação!E4</f>
        <v>1</v>
      </c>
      <c r="D7" s="27">
        <v>4</v>
      </c>
      <c r="E7" s="26">
        <f t="shared" si="1"/>
        <v>0.4</v>
      </c>
      <c r="F7" s="26" t="str">
        <f>((IMSUM(IMPRODUCT(COMPLEX(0,1),'Cálculo Y1'!F7),IMPRODUCT(COMPLEX(0,1),'Cálculo Y2'!F7))))</f>
        <v>8,48898840775712</v>
      </c>
      <c r="G7" s="26" t="str">
        <f>IMSUM(IMPRODUCT(($B$6/$B$7)^(1/2),'Cálculo Y1'!F7),IMPRODUCT((-1)*(($B$6/$B$7)^(1/2)),'Cálculo Y2'!F7))</f>
        <v>7,185637276243</v>
      </c>
      <c r="H7" s="26" t="str">
        <f t="shared" si="2"/>
        <v>-8,87840675006577</v>
      </c>
    </row>
    <row r="8" spans="1:8" x14ac:dyDescent="0.45">
      <c r="A8" s="31" t="s">
        <v>34</v>
      </c>
      <c r="B8" s="27">
        <f>Animação!E6</f>
        <v>-1</v>
      </c>
      <c r="D8" s="27">
        <v>5</v>
      </c>
      <c r="E8" s="26">
        <f t="shared" si="1"/>
        <v>0.5</v>
      </c>
      <c r="F8" s="26" t="str">
        <f>((IMSUM(IMPRODUCT(COMPLEX(0,1),'Cálculo Y1'!F8),IMPRODUCT(COMPLEX(0,1),'Cálculo Y2'!F8))))</f>
        <v>9,16184766480716</v>
      </c>
      <c r="G8" s="26" t="str">
        <f>IMSUM(IMPRODUCT(($B$6/$B$7)^(1/2),'Cálculo Y1'!F8),IMPRODUCT((-1)*(($B$6/$B$7)^(1/2)),'Cálculo Y2'!F8))</f>
        <v>6,25884528567642</v>
      </c>
      <c r="H8" s="26" t="str">
        <f t="shared" si="2"/>
        <v>-9,64127320341136</v>
      </c>
    </row>
    <row r="9" spans="1:8" x14ac:dyDescent="0.45">
      <c r="A9" s="31" t="s">
        <v>59</v>
      </c>
      <c r="B9" s="27">
        <f>Animação!E2</f>
        <v>10</v>
      </c>
      <c r="D9" s="27">
        <v>6</v>
      </c>
      <c r="E9" s="26">
        <f t="shared" si="1"/>
        <v>0.60000000000000009</v>
      </c>
      <c r="F9" s="26" t="str">
        <f>((IMSUM(IMPRODUCT(COMPLEX(0,1),'Cálculo Y1'!F9),IMPRODUCT(COMPLEX(0,1),'Cálculo Y2'!F9))))</f>
        <v>9,73837865281406</v>
      </c>
      <c r="G9" s="26" t="str">
        <f>IMSUM(IMPRODUCT(($B$6/$B$7)^(1/2),'Cálculo Y1'!F9),IMPRODUCT((-1)*(($B$6/$B$7)^(1/2)),'Cálculo Y2'!F9))</f>
        <v>5,26075590650208</v>
      </c>
      <c r="H9" s="26" t="str">
        <f t="shared" si="2"/>
        <v>-10,3030211262091</v>
      </c>
    </row>
    <row r="10" spans="1:8" x14ac:dyDescent="0.45">
      <c r="D10" s="27">
        <v>7</v>
      </c>
      <c r="E10" s="26">
        <f t="shared" si="1"/>
        <v>0.70000000000000007</v>
      </c>
      <c r="F10" s="26" t="str">
        <f>((IMSUM(IMPRODUCT(COMPLEX(0,1),'Cálculo Y1'!F10),IMPRODUCT(COMPLEX(0,1),'Cálculo Y2'!F10))))</f>
        <v>10,2119701279957</v>
      </c>
      <c r="G10" s="26" t="str">
        <f>IMSUM(IMPRODUCT(($B$6/$B$7)^(1/2),'Cálculo Y1'!F10),IMPRODUCT((-1)*(($B$6/$B$7)^(1/2)),'Cálculo Y2'!F10))</f>
        <v>4,20186330062688</v>
      </c>
      <c r="H10" s="26" t="str">
        <f t="shared" si="2"/>
        <v>-10,8561878152334</v>
      </c>
    </row>
    <row r="11" spans="1:8" x14ac:dyDescent="0.45">
      <c r="D11" s="27">
        <v>8</v>
      </c>
      <c r="E11" s="26">
        <f t="shared" si="1"/>
        <v>0.8</v>
      </c>
      <c r="F11" s="26" t="str">
        <f>((IMSUM(IMPRODUCT(COMPLEX(0,1),'Cálculo Y1'!F11),IMPRODUCT(COMPLEX(0,1),'Cálculo Y2'!F11))))</f>
        <v>10,5770957056387</v>
      </c>
      <c r="G11" s="26" t="str">
        <f>IMSUM(IMPRODUCT(($B$6/$B$7)^(1/2),'Cálculo Y1'!F11),IMPRODUCT((-1)*(($B$6/$B$7)^(1/2)),'Cálculo Y2'!F11))</f>
        <v>3,0933514818427</v>
      </c>
      <c r="H11" s="26" t="str">
        <f t="shared" si="2"/>
        <v>-11,2944517965382</v>
      </c>
    </row>
    <row r="12" spans="1:8" x14ac:dyDescent="0.45">
      <c r="B12" s="41"/>
      <c r="D12" s="27">
        <v>9</v>
      </c>
      <c r="E12" s="26">
        <f t="shared" si="1"/>
        <v>0.9</v>
      </c>
      <c r="F12" s="26" t="str">
        <f>((IMSUM(IMPRODUCT(COMPLEX(0,1),'Cálculo Y1'!F12),IMPRODUCT(COMPLEX(0,1),'Cálculo Y2'!F12))))</f>
        <v>10,8293770154283</v>
      </c>
      <c r="G12" s="26" t="str">
        <f>IMSUM(IMPRODUCT(($B$6/$B$7)^(1/2),'Cálculo Y1'!F12),IMPRODUCT((-1)*(($B$6/$B$7)^(1/2)),'Cálculo Y2'!F12))</f>
        <v>1,94697653480826</v>
      </c>
      <c r="H12" s="26" t="str">
        <f t="shared" si="2"/>
        <v>-11,6127039250558</v>
      </c>
    </row>
    <row r="13" spans="1:8" x14ac:dyDescent="0.45">
      <c r="B13" s="40"/>
      <c r="D13" s="27">
        <v>10</v>
      </c>
      <c r="E13" s="26">
        <f t="shared" si="1"/>
        <v>1</v>
      </c>
      <c r="F13" s="26" t="str">
        <f>((IMSUM(IMPRODUCT(COMPLEX(0,1),'Cálculo Y1'!F13),IMPRODUCT(COMPLEX(0,1),'Cálculo Y2'!F13))))</f>
        <v>10,9656347441439</v>
      </c>
      <c r="G13" s="26" t="str">
        <f>IMSUM(IMPRODUCT(($B$6/$B$7)^(1/2),'Cálculo Y1'!F13),IMPRODUCT((-1)*(($B$6/$B$7)^(1/2)),'Cálculo Y2'!F13))</f>
        <v>0,77494235580417</v>
      </c>
      <c r="H13" s="26" t="str">
        <f t="shared" si="2"/>
        <v>-11,8071057289518</v>
      </c>
    </row>
    <row r="14" spans="1:8" x14ac:dyDescent="0.45">
      <c r="D14" s="27">
        <v>11</v>
      </c>
      <c r="E14" s="26">
        <f t="shared" si="1"/>
        <v>1.1000000000000001</v>
      </c>
      <c r="F14" s="26" t="str">
        <f>((IMSUM(IMPRODUCT(COMPLEX(0,1),'Cálculo Y1'!F14),IMPRODUCT(COMPLEX(0,1),'Cálculo Y2'!F14))))</f>
        <v>10,9839269828248</v>
      </c>
      <c r="G14" s="26" t="str">
        <f>IMSUM(IMPRODUCT(($B$6/$B$7)^(1/2),'Cálculo Y1'!F14),IMPRODUCT((-1)*(($B$6/$B$7)^(1/2)),'Cálculo Y2'!F14))</f>
        <v>-0,41022877527529</v>
      </c>
      <c r="H14" s="26" t="str">
        <f t="shared" si="2"/>
        <v>-11,8751343428862</v>
      </c>
    </row>
    <row r="15" spans="1:8" x14ac:dyDescent="0.45">
      <c r="D15" s="27">
        <v>12</v>
      </c>
      <c r="E15" s="26">
        <f t="shared" si="1"/>
        <v>1.2000000000000002</v>
      </c>
      <c r="F15" s="26" t="str">
        <f>((IMSUM(IMPRODUCT(COMPLEX(0,1),'Cálculo Y1'!F15),IMPRODUCT(COMPLEX(0,1),'Cálculo Y2'!F15))))</f>
        <v>10,8835744295045</v>
      </c>
      <c r="G15" s="26" t="str">
        <f>IMSUM(IMPRODUCT(($B$6/$B$7)^(1/2),'Cálculo Y1'!F15),IMPRODUCT((-1)*(($B$6/$B$7)^(1/2)),'Cálculo Y2'!F15))</f>
        <v>-1,59582942364698</v>
      </c>
      <c r="H15" s="26" t="str">
        <f t="shared" si="2"/>
        <v>-11,8156135154717</v>
      </c>
    </row>
    <row r="16" spans="1:8" x14ac:dyDescent="0.45">
      <c r="D16" s="27">
        <v>13</v>
      </c>
      <c r="E16" s="26">
        <f t="shared" si="1"/>
        <v>1.3</v>
      </c>
      <c r="F16" s="26" t="str">
        <f>((IMSUM(IMPRODUCT(COMPLEX(0,1),'Cálculo Y1'!F16),IMPRODUCT(COMPLEX(0,1),'Cálculo Y2'!F16))))</f>
        <v>10,6651721377448</v>
      </c>
      <c r="G16" s="26" t="str">
        <f>IMSUM(IMPRODUCT(($B$6/$B$7)^(1/2),'Cálculo Y1'!F16),IMPRODUCT((-1)*(($B$6/$B$7)^(1/2)),'Cálculo Y2'!F16))</f>
        <v>-2,76910261686822</v>
      </c>
      <c r="H16" s="26" t="str">
        <f t="shared" si="2"/>
        <v>-11,628730323162</v>
      </c>
    </row>
    <row r="17" spans="4:8" x14ac:dyDescent="0.45">
      <c r="D17" s="27">
        <v>14</v>
      </c>
      <c r="E17" s="26">
        <f t="shared" si="1"/>
        <v>1.4000000000000001</v>
      </c>
      <c r="F17" s="26" t="str">
        <f>((IMSUM(IMPRODUCT(COMPLEX(0,1),'Cálculo Y1'!F17),IMPRODUCT(COMPLEX(0,1),'Cálculo Y2'!F17))))</f>
        <v>10,3305876440133</v>
      </c>
      <c r="G17" s="26" t="str">
        <f>IMSUM(IMPRODUCT(($B$6/$B$7)^(1/2),'Cálculo Y1'!F17),IMPRODUCT((-1)*(($B$6/$B$7)^(1/2)),'Cálculo Y2'!F17))</f>
        <v>-3,9173784091129</v>
      </c>
      <c r="H17" s="26" t="str">
        <f t="shared" si="2"/>
        <v>-11,3160373740018</v>
      </c>
    </row>
    <row r="18" spans="4:8" x14ac:dyDescent="0.45">
      <c r="D18" s="27">
        <v>15</v>
      </c>
      <c r="E18" s="26">
        <f t="shared" si="1"/>
        <v>1.5</v>
      </c>
      <c r="F18" s="26" t="str">
        <f>((IMSUM(IMPRODUCT(COMPLEX(0,1),'Cálculo Y1'!F18),IMPRODUCT(COMPLEX(0,1),'Cálculo Y2'!F18))))</f>
        <v>9,88294545191904</v>
      </c>
      <c r="G18" s="26" t="str">
        <f>IMSUM(IMPRODUCT(($B$6/$B$7)^(1/2),'Cálculo Y1'!F18),IMPRODUCT((-1)*(($B$6/$B$7)^(1/2)),'Cálculo Y2'!F18))</f>
        <v>-5,028209937057</v>
      </c>
      <c r="H18" s="26" t="str">
        <f t="shared" si="2"/>
        <v>-10,8804404385231</v>
      </c>
    </row>
    <row r="19" spans="4:8" x14ac:dyDescent="0.45">
      <c r="D19" s="27">
        <v>16</v>
      </c>
      <c r="E19" s="26">
        <f t="shared" si="1"/>
        <v>1.6</v>
      </c>
      <c r="F19" s="26" t="str">
        <f>((IMSUM(IMPRODUCT(COMPLEX(0,1),'Cálculo Y1'!F19),IMPRODUCT(COMPLEX(0,1),'Cálculo Y2'!F19))))</f>
        <v>9,32659799692012</v>
      </c>
      <c r="G19" s="26" t="str">
        <f>IMSUM(IMPRODUCT(($B$6/$B$7)^(1/2),'Cálculo Y1'!F19),IMPRODUCT((-1)*(($B$6/$B$7)^(1/2)),'Cálculo Y2'!F19))</f>
        <v>-6,08950751340718</v>
      </c>
      <c r="H19" s="26" t="str">
        <f t="shared" si="2"/>
        <v>-10,3261715999616</v>
      </c>
    </row>
    <row r="20" spans="4:8" x14ac:dyDescent="0.45">
      <c r="D20" s="27">
        <v>17</v>
      </c>
      <c r="E20" s="26">
        <f t="shared" si="1"/>
        <v>1.7000000000000002</v>
      </c>
      <c r="F20" s="26" t="str">
        <f>((IMSUM(IMPRODUCT(COMPLEX(0,1),'Cálculo Y1'!F20),IMPRODUCT(COMPLEX(0,1),'Cálculo Y2'!F20))))</f>
        <v>8,66708335979546</v>
      </c>
      <c r="G20" s="26" t="str">
        <f>IMSUM(IMPRODUCT(($B$6/$B$7)^(1/2),'Cálculo Y1'!F20),IMPRODUCT((-1)*(($B$6/$B$7)^(1/2)),'Cálculo Y2'!F20))</f>
        <v>-7,08966932104984</v>
      </c>
      <c r="H20" s="26" t="str">
        <f t="shared" si="2"/>
        <v>-9,65874817024793</v>
      </c>
    </row>
    <row r="21" spans="4:8" x14ac:dyDescent="0.45">
      <c r="D21" s="27">
        <v>18</v>
      </c>
      <c r="E21" s="26">
        <f t="shared" si="1"/>
        <v>1.8</v>
      </c>
      <c r="F21" s="26" t="str">
        <f>((IMSUM(IMPRODUCT(COMPLEX(0,1),'Cálculo Y1'!F21),IMPRODUCT(COMPLEX(0,1),'Cálculo Y2'!F21))))</f>
        <v>7,91107013938872</v>
      </c>
      <c r="G21" s="26" t="str">
        <f>IMSUM(IMPRODUCT(($B$6/$B$7)^(1/2),'Cálculo Y1'!F21),IMPRODUCT((-1)*(($B$6/$B$7)^(1/2)),'Cálculo Y2'!F21))</f>
        <v>-8,01770730307034</v>
      </c>
      <c r="H21" s="26" t="str">
        <f t="shared" si="2"/>
        <v>-8,88491777026691</v>
      </c>
    </row>
    <row r="22" spans="4:8" x14ac:dyDescent="0.45">
      <c r="D22" s="27">
        <v>19</v>
      </c>
      <c r="E22" s="26">
        <f t="shared" si="1"/>
        <v>1.9000000000000001</v>
      </c>
      <c r="F22" s="26" t="str">
        <f>((IMSUM(IMPRODUCT(COMPLEX(0,1),'Cálculo Y1'!F22),IMPRODUCT(COMPLEX(0,1),'Cálculo Y2'!F22))))</f>
        <v>7,06629003336458</v>
      </c>
      <c r="G22" s="26" t="str">
        <f>IMSUM(IMPRODUCT(($B$6/$B$7)^(1/2),'Cálculo Y1'!F22),IMPRODUCT((-1)*(($B$6/$B$7)^(1/2)),'Cálculo Y2'!F22))</f>
        <v>-8,86336689118936</v>
      </c>
      <c r="H22" s="26" t="str">
        <f t="shared" si="2"/>
        <v>-8,01259012105199</v>
      </c>
    </row>
    <row r="23" spans="4:8" x14ac:dyDescent="0.45">
      <c r="D23" s="27">
        <v>20</v>
      </c>
      <c r="E23" s="26">
        <f t="shared" si="1"/>
        <v>2</v>
      </c>
      <c r="F23" s="26" t="str">
        <f>((IMSUM(IMPRODUCT(COMPLEX(0,1),'Cálculo Y1'!F23),IMPRODUCT(COMPLEX(0,1),'Cálculo Y2'!F23))))</f>
        <v>6,14145880849002</v>
      </c>
      <c r="G23" s="26" t="str">
        <f>IMSUM(IMPRODUCT(($B$6/$B$7)^(1/2),'Cálculo Y1'!F23),IMPRODUCT((-1)*(($B$6/$B$7)^(1/2)),'Cálculo Y2'!F23))</f>
        <v>-9,61723927701828</v>
      </c>
      <c r="H23" s="26" t="str">
        <f t="shared" si="2"/>
        <v>-7,0507562353157</v>
      </c>
    </row>
    <row r="24" spans="4:8" x14ac:dyDescent="0.45">
      <c r="D24" s="27">
        <v>21</v>
      </c>
      <c r="E24" s="26">
        <f t="shared" si="1"/>
        <v>2.1</v>
      </c>
      <c r="F24" s="26" t="str">
        <f>((IMSUM(IMPRODUCT(COMPLEX(0,1),'Cálculo Y1'!F24),IMPRODUCT(COMPLEX(0,1),'Cálculo Y2'!F24))))</f>
        <v>5,14618646783608</v>
      </c>
      <c r="G24" s="26" t="str">
        <f>IMSUM(IMPRODUCT(($B$6/$B$7)^(1/2),'Cálculo Y1'!F24),IMPRODUCT((-1)*(($B$6/$B$7)^(1/2)),'Cálculo Y2'!F24))</f>
        <v>-10,2708650063283</v>
      </c>
      <c r="H24" s="26" t="str">
        <f t="shared" si="2"/>
        <v>-6,00939583448495</v>
      </c>
    </row>
    <row r="25" spans="4:8" x14ac:dyDescent="0.45">
      <c r="D25" s="27">
        <v>22</v>
      </c>
      <c r="E25" s="26">
        <f t="shared" si="1"/>
        <v>2.2000000000000002</v>
      </c>
      <c r="F25" s="26" t="str">
        <f>((IMSUM(IMPRODUCT(COMPLEX(0,1),'Cálculo Y1'!F25),IMPRODUCT(COMPLEX(0,1),'Cálculo Y2'!F25))))</f>
        <v>4,09087753993402</v>
      </c>
      <c r="G25" s="26" t="str">
        <f>IMSUM(IMPRODUCT(($B$6/$B$7)^(1/2),'Cálculo Y1'!F25),IMPRODUCT((-1)*(($B$6/$B$7)^(1/2)),'Cálculo Y2'!F25))</f>
        <v>-10,8168277654877</v>
      </c>
      <c r="H25" s="26" t="str">
        <f t="shared" si="2"/>
        <v>-4,89937394375361</v>
      </c>
    </row>
    <row r="26" spans="4:8" x14ac:dyDescent="0.45">
      <c r="D26" s="27">
        <v>23</v>
      </c>
      <c r="E26" s="26">
        <f t="shared" si="1"/>
        <v>2.3000000000000003</v>
      </c>
      <c r="F26" s="26" t="str">
        <f>((IMSUM(IMPRODUCT(COMPLEX(0,1),'Cálculo Y1'!F26),IMPRODUCT(COMPLEX(0,1),'Cálculo Y2'!F26))))</f>
        <v>2,98662252304194</v>
      </c>
      <c r="G26" s="26" t="str">
        <f>IMSUM(IMPRODUCT(($B$6/$B$7)^(1/2),'Cálculo Y1'!F26),IMPRODUCT((-1)*(($B$6/$B$7)^(1/2)),'Cálculo Y2'!F26))</f>
        <v>-11,2488373304385</v>
      </c>
      <c r="H26" s="26" t="str">
        <f t="shared" si="2"/>
        <v>-3,73232773521866</v>
      </c>
    </row>
    <row r="27" spans="4:8" x14ac:dyDescent="0.45">
      <c r="D27" s="27">
        <v>24</v>
      </c>
      <c r="E27" s="26">
        <f t="shared" si="1"/>
        <v>2.4000000000000004</v>
      </c>
      <c r="F27" s="26" t="str">
        <f>((IMSUM(IMPRODUCT(COMPLEX(0,1),'Cálculo Y1'!F27),IMPRODUCT(COMPLEX(0,1),'Cálculo Y2'!F27))))</f>
        <v>1,84508161510726</v>
      </c>
      <c r="G27" s="26" t="str">
        <f>IMSUM(IMPRODUCT(($B$6/$B$7)^(1/2),'Cálculo Y1'!F27),IMPRODUCT((-1)*(($B$6/$B$7)^(1/2)),'Cálculo Y2'!F27))</f>
        <v>-11,5618007610099</v>
      </c>
      <c r="H27" s="26" t="str">
        <f t="shared" si="2"/>
        <v>-2,52054479565841</v>
      </c>
    </row>
    <row r="28" spans="4:8" x14ac:dyDescent="0.45">
      <c r="D28" s="27">
        <v>25</v>
      </c>
      <c r="E28" s="26">
        <f t="shared" si="1"/>
        <v>2.5</v>
      </c>
      <c r="F28" s="26" t="str">
        <f>((IMSUM(IMPRODUCT(COMPLEX(0,1),'Cálculo Y1'!F28),IMPRODUCT(COMPLEX(0,1),'Cálculo Y2'!F28))))</f>
        <v>0,678361945686176</v>
      </c>
      <c r="G28" s="26" t="str">
        <f>IMSUM(IMPRODUCT(($B$6/$B$7)^(1/2),'Cálculo Y1'!F28),IMPRODUCT((-1)*(($B$6/$B$7)^(1/2)),'Cálculo Y2'!F28))</f>
        <v>-11,7518810458459</v>
      </c>
      <c r="H28" s="26" t="str">
        <f t="shared" si="2"/>
        <v>-1,27683408979013</v>
      </c>
    </row>
    <row r="29" spans="4:8" x14ac:dyDescent="0.45">
      <c r="D29" s="27">
        <v>26</v>
      </c>
      <c r="E29" s="26">
        <f t="shared" si="1"/>
        <v>2.6</v>
      </c>
      <c r="F29" s="26" t="str">
        <f>((IMSUM(IMPRODUCT(COMPLEX(0,1),'Cálculo Y1'!F29),IMPRODUCT(COMPLEX(0,1),'Cálculo Y2'!F29))))</f>
        <v>-0,501110400941978</v>
      </c>
      <c r="G29" s="26" t="str">
        <f>IMSUM(IMPRODUCT(($B$6/$B$7)^(1/2),'Cálculo Y1'!F29),IMPRODUCT((-1)*(($B$6/$B$7)^(1/2)),'Cálculo Y2'!F29))</f>
        <v>-11,8165425344685</v>
      </c>
      <c r="H29" s="26" t="str">
        <f t="shared" si="2"/>
        <v>-0,0143909708794862</v>
      </c>
    </row>
    <row r="30" spans="4:8" x14ac:dyDescent="0.45">
      <c r="D30" s="27">
        <v>27</v>
      </c>
      <c r="E30" s="26">
        <f t="shared" si="1"/>
        <v>2.7</v>
      </c>
      <c r="F30" s="26" t="str">
        <f>((IMSUM(IMPRODUCT(COMPLEX(0,1),'Cálculo Y1'!F30),IMPRODUCT(COMPLEX(0,1),'Cálculo Y2'!F30))))</f>
        <v>-1,68072222275666</v>
      </c>
      <c r="G30" s="26" t="str">
        <f>IMSUM(IMPRODUCT(($B$6/$B$7)^(1/2),'Cálculo Y1'!F30),IMPRODUCT((-1)*(($B$6/$B$7)^(1/2)),'Cálculo Y2'!F30))</f>
        <v>-11,7545826316568</v>
      </c>
      <c r="H30" s="26" t="str">
        <f t="shared" si="2"/>
        <v>1,25334234252283</v>
      </c>
    </row>
    <row r="31" spans="4:8" x14ac:dyDescent="0.45">
      <c r="D31" s="27">
        <v>28</v>
      </c>
      <c r="E31" s="26">
        <f t="shared" si="1"/>
        <v>2.8000000000000003</v>
      </c>
      <c r="F31" s="26" t="str">
        <f>((IMSUM(IMPRODUCT(COMPLEX(0,1),'Cálculo Y1'!F31),IMPRODUCT(COMPLEX(0,1),'Cálculo Y2'!F31))))</f>
        <v>-2,84780750307028</v>
      </c>
      <c r="G31" s="26" t="str">
        <f>IMSUM(IMPRODUCT(($B$6/$B$7)^(1/2),'Cálculo Y1'!F31),IMPRODUCT((-1)*(($B$6/$B$7)^(1/2)),'Cálculo Y2'!F31))</f>
        <v>-11,5661493739249</v>
      </c>
      <c r="H31" s="26" t="str">
        <f t="shared" si="2"/>
        <v>2,51281935291438</v>
      </c>
    </row>
    <row r="32" spans="4:8" x14ac:dyDescent="0.45">
      <c r="D32" s="27">
        <v>29</v>
      </c>
      <c r="E32" s="26">
        <f t="shared" si="1"/>
        <v>2.9000000000000004</v>
      </c>
      <c r="F32" s="26" t="str">
        <f>((IMSUM(IMPRODUCT(COMPLEX(0,1),'Cálculo Y1'!F32),IMPRODUCT(COMPLEX(0,1),'Cálculo Y2'!F32))))</f>
        <v>-3,98978275509048</v>
      </c>
      <c r="G32" s="26" t="str">
        <f>IMSUM(IMPRODUCT(($B$6/$B$7)^(1/2),'Cálculo Y1'!F32),IMPRODUCT((-1)*(($B$6/$B$7)^(1/2)),'Cálculo Y2'!F32))</f>
        <v>-11,2527446569199</v>
      </c>
      <c r="H32" s="26" t="str">
        <f t="shared" si="2"/>
        <v>3,7505334258765</v>
      </c>
    </row>
    <row r="33" spans="4:8" x14ac:dyDescent="0.45">
      <c r="D33" s="27">
        <v>30</v>
      </c>
      <c r="E33" s="26">
        <f t="shared" si="1"/>
        <v>3</v>
      </c>
      <c r="F33" s="26" t="str">
        <f>((IMSUM(IMPRODUCT(COMPLEX(0,1),'Cálculo Y1'!F33),IMPRODUCT(COMPLEX(0,1),'Cálculo Y2'!F33))))</f>
        <v>-5,0942819678267</v>
      </c>
      <c r="G33" s="26" t="str">
        <f>IMSUM(IMPRODUCT(($B$6/$B$7)^(1/2),'Cálculo Y1'!F33),IMPRODUCT((-1)*(($B$6/$B$7)^(1/2)),'Cálculo Y2'!F33))</f>
        <v>-10,8172130344688</v>
      </c>
      <c r="H33" s="26" t="str">
        <f t="shared" si="2"/>
        <v>4,95316195976683</v>
      </c>
    </row>
    <row r="34" spans="4:8" x14ac:dyDescent="0.45">
      <c r="D34" s="27">
        <v>31</v>
      </c>
      <c r="E34" s="26">
        <f t="shared" si="1"/>
        <v>3.1</v>
      </c>
      <c r="F34" s="26" t="str">
        <f>((IMSUM(IMPRODUCT(COMPLEX(0,1),'Cálculo Y1'!F34),IMPRODUCT(COMPLEX(0,1),'Cálculo Y2'!F34))))</f>
        <v>-6,14928971292442</v>
      </c>
      <c r="G34" s="26" t="str">
        <f>IMSUM(IMPRODUCT(($B$6/$B$7)^(1/2),'Cálculo Y1'!F34),IMPRODUCT((-1)*(($B$6/$B$7)^(1/2)),'Cálculo Y2'!F34))</f>
        <v>-10,2637161631656</v>
      </c>
      <c r="H34" s="26" t="str">
        <f t="shared" si="2"/>
        <v>6,10770905049113</v>
      </c>
    </row>
    <row r="35" spans="4:8" x14ac:dyDescent="0.45">
      <c r="D35" s="27">
        <v>32</v>
      </c>
      <c r="E35" s="26">
        <f t="shared" si="1"/>
        <v>3.2</v>
      </c>
      <c r="F35" s="26" t="str">
        <f>((IMSUM(IMPRODUCT(COMPLEX(0,1),'Cálculo Y1'!F35),IMPRODUCT(COMPLEX(0,1),'Cálculo Y2'!F35))))</f>
        <v>-7,1432709870497</v>
      </c>
      <c r="G35" s="26" t="str">
        <f>IMSUM(IMPRODUCT(($B$6/$B$7)^(1/2),'Cálculo Y1'!F35),IMPRODUCT((-1)*(($B$6/$B$7)^(1/2)),'Cálculo Y2'!F35))</f>
        <v>-9,59769311920118</v>
      </c>
      <c r="H35" s="26" t="str">
        <f t="shared" si="2"/>
        <v>7,20164513047728</v>
      </c>
    </row>
    <row r="36" spans="4:8" x14ac:dyDescent="0.45">
      <c r="D36" s="27">
        <v>33</v>
      </c>
      <c r="E36" s="26">
        <f t="shared" ref="E36:E67" si="3">D36*$B$4+$B$3</f>
        <v>3.3000000000000003</v>
      </c>
      <c r="F36" s="26" t="str">
        <f>((IMSUM(IMPRODUCT(COMPLEX(0,1),'Cálculo Y1'!F36),IMPRODUCT(COMPLEX(0,1),'Cálculo Y2'!F36))))</f>
        <v>-8,06529639468194</v>
      </c>
      <c r="G36" s="26" t="str">
        <f>IMSUM(IMPRODUCT(($B$6/$B$7)^(1/2),'Cálculo Y1'!F36),IMPRODUCT((-1)*(($B$6/$B$7)^(1/2)),'Cálculo Y2'!F36))</f>
        <v>-8,82580696496436</v>
      </c>
      <c r="H36" s="26" t="str">
        <f t="shared" si="2"/>
        <v>8,22304208882519</v>
      </c>
    </row>
    <row r="37" spans="4:8" x14ac:dyDescent="0.45">
      <c r="D37" s="27">
        <v>34</v>
      </c>
      <c r="E37" s="26">
        <f t="shared" si="3"/>
        <v>3.4000000000000004</v>
      </c>
      <c r="F37" s="26" t="str">
        <f>((IMSUM(IMPRODUCT(COMPLEX(0,1),'Cálculo Y1'!F37),IMPRODUCT(COMPLEX(0,1),'Cálculo Y2'!F37))))</f>
        <v>-8,9051613213237</v>
      </c>
      <c r="G37" s="26" t="str">
        <f>IMSUM(IMPRODUCT(($B$6/$B$7)^(1/2),'Cálculo Y1'!F37),IMPRODUCT((-1)*(($B$6/$B$7)^(1/2)),'Cálculo Y2'!F37))</f>
        <v>-7,95587809019056</v>
      </c>
      <c r="H37" s="26" t="str">
        <f t="shared" si="2"/>
        <v>9,16070242335053</v>
      </c>
    </row>
    <row r="38" spans="4:8" x14ac:dyDescent="0.45">
      <c r="D38" s="27">
        <v>35</v>
      </c>
      <c r="E38" s="26">
        <f t="shared" si="3"/>
        <v>3.5</v>
      </c>
      <c r="F38" s="26" t="str">
        <f>((IMSUM(IMPRODUCT(COMPLEX(0,1),'Cálculo Y1'!F38),IMPRODUCT(COMPLEX(0,1),'Cálculo Y2'!F38))))</f>
        <v>-9,6534978067688</v>
      </c>
      <c r="G38" s="26" t="str">
        <f>IMSUM(IMPRODUCT(($B$6/$B$7)^(1/2),'Cálculo Y1'!F38),IMPRODUCT((-1)*(($B$6/$B$7)^(1/2)),'Cálculo Y2'!F38))</f>
        <v>-6,99680499452822</v>
      </c>
      <c r="H38" s="26" t="str">
        <f t="shared" si="2"/>
        <v>10,0042810344584</v>
      </c>
    </row>
    <row r="39" spans="4:8" x14ac:dyDescent="0.45">
      <c r="D39" s="27">
        <v>36</v>
      </c>
      <c r="E39" s="26">
        <f t="shared" si="3"/>
        <v>3.6</v>
      </c>
      <c r="F39" s="26" t="str">
        <f>((IMSUM(IMPRODUCT(COMPLEX(0,1),'Cálculo Y1'!F39),IMPRODUCT(COMPLEX(0,1),'Cálculo Y2'!F39))))</f>
        <v>-10,3018779015892</v>
      </c>
      <c r="G39" s="26" t="str">
        <f>IMSUM(IMPRODUCT(($B$6/$B$7)^(1/2),'Cálculo Y1'!F39),IMPRODUCT((-1)*(($B$6/$B$7)^(1/2)),'Cálculo Y2'!F39))</f>
        <v>-5,95847331381474</v>
      </c>
      <c r="H39" s="26" t="str">
        <f t="shared" si="2"/>
        <v>10,7443983448841</v>
      </c>
    </row>
    <row r="40" spans="4:8" x14ac:dyDescent="0.45">
      <c r="D40" s="27">
        <v>37</v>
      </c>
      <c r="E40" s="26">
        <f t="shared" si="3"/>
        <v>3.7</v>
      </c>
      <c r="F40" s="26" t="str">
        <f>((IMSUM(IMPRODUCT(COMPLEX(0,1),'Cálculo Y1'!F40),IMPRODUCT(COMPLEX(0,1),'Cálculo Y2'!F40))))</f>
        <v>-10,8429073766692</v>
      </c>
      <c r="G40" s="26" t="str">
        <f>IMSUM(IMPRODUCT(($B$6/$B$7)^(1/2),'Cálculo Y1'!F40),IMPRODUCT((-1)*(($B$6/$B$7)^(1/2)),'Cálculo Y2'!F40))</f>
        <v>-4,85165401965304</v>
      </c>
      <c r="H40" s="26" t="str">
        <f t="shared" si="2"/>
        <v>11,3727435175777</v>
      </c>
    </row>
    <row r="41" spans="4:8" x14ac:dyDescent="0.45">
      <c r="D41" s="27">
        <v>38</v>
      </c>
      <c r="E41" s="26">
        <f t="shared" si="3"/>
        <v>3.8000000000000003</v>
      </c>
      <c r="F41" s="26" t="str">
        <f>((IMSUM(IMPRODUCT(COMPLEX(0,1),'Cálculo Y1'!F41),IMPRODUCT(COMPLEX(0,1),'Cálculo Y2'!F41))))</f>
        <v>-11,2703087545486</v>
      </c>
      <c r="G41" s="26" t="str">
        <f>IMSUM(IMPRODUCT(($B$6/$B$7)^(1/2),'Cálculo Y1'!F41),IMPRODUCT((-1)*(($B$6/$B$7)^(1/2)),'Cálculo Y2'!F41))</f>
        <v>-3,68789183968368</v>
      </c>
      <c r="H41" s="26" t="str">
        <f t="shared" si="2"/>
        <v>11,8821666454913</v>
      </c>
    </row>
    <row r="42" spans="4:8" x14ac:dyDescent="0.45">
      <c r="D42" s="27">
        <v>39</v>
      </c>
      <c r="E42" s="26">
        <f t="shared" si="3"/>
        <v>3.9000000000000004</v>
      </c>
      <c r="F42" s="26" t="str">
        <f>((IMSUM(IMPRODUCT(COMPLEX(0,1),'Cálculo Y1'!F42),IMPRODUCT(COMPLEX(0,1),'Cálculo Y2'!F42))))</f>
        <v>-11,5789927415235</v>
      </c>
      <c r="G42" s="26" t="str">
        <f>IMSUM(IMPRODUCT(($B$6/$B$7)^(1/2),'Cálculo Y1'!F42),IMPRODUCT((-1)*(($B$6/$B$7)^(1/2)),'Cálculo Y2'!F42))</f>
        <v>-2,4793850529847</v>
      </c>
      <c r="H42" s="26" t="str">
        <f t="shared" si="2"/>
        <v>12,2667589007075</v>
      </c>
    </row>
    <row r="43" spans="4:8" x14ac:dyDescent="0.45">
      <c r="D43" s="27">
        <v>40</v>
      </c>
      <c r="E43" s="26">
        <f t="shared" si="3"/>
        <v>4</v>
      </c>
      <c r="F43" s="26" t="str">
        <f>((IMSUM(IMPRODUCT(COMPLEX(0,1),'Cálculo Y1'!F43),IMPRODUCT(COMPLEX(0,1),'Cálculo Y2'!F43))))</f>
        <v>-11,7651172597553</v>
      </c>
      <c r="G43" s="26" t="str">
        <f>IMSUM(IMPRODUCT(($B$6/$B$7)^(1/2),'Cálculo Y1'!F43),IMPRODUCT((-1)*(($B$6/$B$7)^(1/2)),'Cálculo Y2'!F43))</f>
        <v>-1,23885791013837</v>
      </c>
      <c r="H43" s="26" t="str">
        <f t="shared" si="2"/>
        <v>12,5219197550632</v>
      </c>
    </row>
    <row r="44" spans="4:8" x14ac:dyDescent="0.45">
      <c r="D44" s="27">
        <v>41</v>
      </c>
      <c r="E44" s="26">
        <f t="shared" si="3"/>
        <v>4.1000000000000005</v>
      </c>
      <c r="F44" s="26" t="str">
        <f>((IMSUM(IMPRODUCT(COMPLEX(0,1),'Cálculo Y1'!F44),IMPRODUCT(COMPLEX(0,1),'Cálculo Y2'!F44))))</f>
        <v>-11,8261334078108</v>
      </c>
      <c r="G44" s="26" t="str">
        <f>IMSUM(IMPRODUCT(($B$6/$B$7)^(1/2),'Cálculo Y1'!F44),IMPRODUCT((-1)*(($B$6/$B$7)^(1/2)),'Cálculo Y2'!F44))</f>
        <v>0,020572990358742</v>
      </c>
      <c r="H44" s="26" t="str">
        <f t="shared" si="2"/>
        <v>12,6444105188752</v>
      </c>
    </row>
    <row r="45" spans="4:8" x14ac:dyDescent="0.45">
      <c r="D45" s="27">
        <v>42</v>
      </c>
      <c r="E45" s="26">
        <f t="shared" si="3"/>
        <v>4.2</v>
      </c>
      <c r="F45" s="26" t="str">
        <f>((IMSUM(IMPRODUCT(COMPLEX(0,1),'Cálculo Y1'!F45),IMPRODUCT(COMPLEX(0,1),'Cálculo Y2'!F45))))</f>
        <v>-11,760817814756</v>
      </c>
      <c r="G45" s="26" t="str">
        <f>IMSUM(IMPRODUCT(($B$6/$B$7)^(1/2),'Cálculo Y1'!F45),IMPRODUCT((-1)*(($B$6/$B$7)^(1/2)),'Cálculo Y2'!F45))</f>
        <v>1,28553696940284</v>
      </c>
      <c r="H45" s="26" t="str">
        <f t="shared" si="2"/>
        <v>12,6323935871696</v>
      </c>
    </row>
    <row r="46" spans="4:8" x14ac:dyDescent="0.45">
      <c r="D46" s="27">
        <v>43</v>
      </c>
      <c r="E46" s="26">
        <f t="shared" si="3"/>
        <v>4.3</v>
      </c>
      <c r="F46" s="26" t="str">
        <f>((IMSUM(IMPRODUCT(COMPLEX(0,1),'Cálculo Y1'!F46),IMPRODUCT(COMPLEX(0,1),'Cálculo Y2'!F46))))</f>
        <v>-11,5692909957287</v>
      </c>
      <c r="G46" s="26" t="str">
        <f>IMSUM(IMPRODUCT(($B$6/$B$7)^(1/2),'Cálculo Y1'!F46),IMPRODUCT((-1)*(($B$6/$B$7)^(1/2)),'Cálculo Y2'!F46))</f>
        <v>2,54255072474008</v>
      </c>
      <c r="H46" s="26" t="str">
        <f t="shared" si="2"/>
        <v>12,4854569324782</v>
      </c>
    </row>
    <row r="47" spans="4:8" x14ac:dyDescent="0.45">
      <c r="D47" s="27">
        <v>44</v>
      </c>
      <c r="E47" s="26">
        <f t="shared" si="3"/>
        <v>4.4000000000000004</v>
      </c>
      <c r="F47" s="26" t="str">
        <f>((IMSUM(IMPRODUCT(COMPLEX(0,1),'Cálculo Y1'!F47),IMPRODUCT(COMPLEX(0,1),'Cálculo Y2'!F47))))</f>
        <v>-11,2530214643143</v>
      </c>
      <c r="G47" s="26" t="str">
        <f>IMSUM(IMPRODUCT(($B$6/$B$7)^(1/2),'Cálculo Y1'!F47),IMPRODUCT((-1)*(($B$6/$B$7)^(1/2)),'Cálculo Y2'!F47))</f>
        <v>3,778161486623</v>
      </c>
      <c r="H47" s="26" t="str">
        <f t="shared" si="2"/>
        <v>12,2046235382038</v>
      </c>
    </row>
    <row r="48" spans="4:8" x14ac:dyDescent="0.45">
      <c r="D48" s="27">
        <v>45</v>
      </c>
      <c r="E48" s="26">
        <f t="shared" si="3"/>
        <v>4.5</v>
      </c>
      <c r="F48" s="26" t="str">
        <f>((IMSUM(IMPRODUCT(COMPLEX(0,1),'Cálculo Y1'!F48),IMPRODUCT(COMPLEX(0,1),'Cálculo Y2'!F48))))</f>
        <v>-10,8148155075177</v>
      </c>
      <c r="G48" s="26" t="str">
        <f>IMSUM(IMPRODUCT(($B$6/$B$7)^(1/2),'Cálculo Y1'!F48),IMPRODUCT((-1)*(($B$6/$B$7)^(1/2)),'Cálculo Y2'!F48))</f>
        <v>4,97909035702286</v>
      </c>
      <c r="H48" s="26" t="str">
        <f t="shared" si="2"/>
        <v>11,7923456251828</v>
      </c>
    </row>
    <row r="49" spans="4:8" x14ac:dyDescent="0.45">
      <c r="D49" s="27">
        <v>46</v>
      </c>
      <c r="E49" s="26">
        <f t="shared" si="3"/>
        <v>4.6000000000000005</v>
      </c>
      <c r="F49" s="26" t="str">
        <f>((IMSUM(IMPRODUCT(COMPLEX(0,1),'Cálculo Y1'!F49),IMPRODUCT(COMPLEX(0,1),'Cálculo Y2'!F49))))</f>
        <v>-10,258792681053</v>
      </c>
      <c r="G49" s="26" t="str">
        <f>IMSUM(IMPRODUCT(($B$6/$B$7)^(1/2),'Cálculo Y1'!F49),IMPRODUCT((-1)*(($B$6/$B$7)^(1/2)),'Cálculo Y2'!F49))</f>
        <v>6,1323743110386</v>
      </c>
      <c r="H49" s="26" t="str">
        <f t="shared" si="2"/>
        <v>11,2524836846865</v>
      </c>
    </row>
    <row r="50" spans="4:8" x14ac:dyDescent="0.45">
      <c r="D50" s="27">
        <v>47</v>
      </c>
      <c r="E50" s="26">
        <f t="shared" si="3"/>
        <v>4.7</v>
      </c>
      <c r="F50" s="26" t="str">
        <f>((IMSUM(IMPRODUCT(COMPLEX(0,1),'Cálculo Y1'!F50),IMPRODUCT(COMPLEX(0,1),'Cálculo Y2'!F50))))</f>
        <v>-9,59034723447578</v>
      </c>
      <c r="G50" s="26" t="str">
        <f>IMSUM(IMPRODUCT(($B$6/$B$7)^(1/2),'Cálculo Y1'!F50),IMPRODUCT((-1)*(($B$6/$B$7)^(1/2)),'Cálculo Y2'!F50))</f>
        <v>7,22550534851852</v>
      </c>
      <c r="H50" s="26" t="str">
        <f t="shared" si="2"/>
        <v>10,5902704920399</v>
      </c>
    </row>
    <row r="51" spans="4:8" x14ac:dyDescent="0.45">
      <c r="D51" s="27">
        <v>48</v>
      </c>
      <c r="E51" s="26">
        <f t="shared" si="3"/>
        <v>4.8000000000000007</v>
      </c>
      <c r="F51" s="26" t="str">
        <f>((IMSUM(IMPRODUCT(COMPLEX(0,1),'Cálculo Y1'!F51),IMPRODUCT(COMPLEX(0,1),'Cálculo Y2'!F51))))</f>
        <v>-8,81609582574416</v>
      </c>
      <c r="G51" s="26" t="str">
        <f>IMSUM(IMPRODUCT(($B$6/$B$7)^(1/2),'Cálculo Y1'!F51),IMPRODUCT((-1)*(($B$6/$B$7)^(1/2)),'Cálculo Y2'!F51))</f>
        <v>8,24656530932452</v>
      </c>
      <c r="H51" s="26" t="str">
        <f t="shared" si="2"/>
        <v>9,81226043458</v>
      </c>
    </row>
    <row r="52" spans="4:8" x14ac:dyDescent="0.45">
      <c r="D52" s="27">
        <v>49</v>
      </c>
      <c r="E52" s="26">
        <f t="shared" si="3"/>
        <v>4.9000000000000004</v>
      </c>
      <c r="F52" s="26" t="str">
        <f>((IMSUM(IMPRODUCT(COMPLEX(0,1),'Cálculo Y1'!F52),IMPRODUCT(COMPLEX(0,1),'Cálculo Y2'!F52))))</f>
        <v>-7,9438120315184</v>
      </c>
      <c r="G52" s="26" t="str">
        <f>IMSUM(IMPRODUCT(($B$6/$B$7)^(1/2),'Cálculo Y1'!F52),IMPRODUCT((-1)*(($B$6/$B$7)^(1/2)),'Cálculo Y2'!F52))</f>
        <v>9,18435490689686</v>
      </c>
      <c r="H52" s="26" t="str">
        <f t="shared" si="2"/>
        <v>8,92626464414273</v>
      </c>
    </row>
    <row r="53" spans="4:8" x14ac:dyDescent="0.45">
      <c r="D53" s="27">
        <v>50</v>
      </c>
      <c r="E53" s="26">
        <f t="shared" si="3"/>
        <v>5</v>
      </c>
      <c r="F53" s="26" t="str">
        <f>((IMSUM(IMPRODUCT(COMPLEX(0,1),'Cálculo Y1'!F53),IMPRODUCT(COMPLEX(0,1),'Cálculo Y2'!F53))))</f>
        <v>-6,98234830133924</v>
      </c>
      <c r="G53" s="26" t="str">
        <f>IMSUM(IMPRODUCT(($B$6/$B$7)^(1/2),'Cálculo Y1'!F53),IMPRODUCT((-1)*(($B$6/$B$7)^(1/2)),'Cálculo Y2'!F53))</f>
        <v>10,0285155914292</v>
      </c>
      <c r="H53" s="26" t="str">
        <f t="shared" si="2"/>
        <v>7,94127257600238</v>
      </c>
    </row>
    <row r="54" spans="4:8" x14ac:dyDescent="0.45">
      <c r="D54" s="27">
        <v>51</v>
      </c>
      <c r="E54" s="26">
        <f t="shared" si="3"/>
        <v>5.1000000000000005</v>
      </c>
      <c r="F54" s="26" t="str">
        <f>((IMSUM(IMPRODUCT(COMPLEX(0,1),'Cálculo Y1'!F54),IMPRODUCT(COMPLEX(0,1),'Cálculo Y2'!F54))))</f>
        <v>-5,94154613923738</v>
      </c>
      <c r="G54" s="26" t="str">
        <f>IMSUM(IMPRODUCT(($B$6/$B$7)^(1/2),'Cálculo Y1'!F54),IMPRODUCT((-1)*(($B$6/$B$7)^(1/2)),'Cálculo Y2'!F54))</f>
        <v>10,7696429254843</v>
      </c>
      <c r="H54" s="26" t="str">
        <f t="shared" si="2"/>
        <v>6,86736082156511</v>
      </c>
    </row>
    <row r="55" spans="4:8" x14ac:dyDescent="0.45">
      <c r="D55" s="27">
        <v>52</v>
      </c>
      <c r="E55" s="26">
        <f t="shared" si="3"/>
        <v>5.2</v>
      </c>
      <c r="F55" s="26" t="str">
        <f>((IMSUM(IMPRODUCT(COMPLEX(0,1),'Cálculo Y1'!F55),IMPRODUCT(COMPLEX(0,1),'Cálculo Y2'!F55))))</f>
        <v>-4,83213542387498</v>
      </c>
      <c r="G55" s="26" t="str">
        <f>IMSUM(IMPRODUCT(($B$6/$B$7)^(1/2),'Cálculo Y1'!F55),IMPRODUCT((-1)*(($B$6/$B$7)^(1/2)),'Cálculo Y2'!F55))</f>
        <v>11,399390240558</v>
      </c>
      <c r="H55" s="26" t="str">
        <f t="shared" si="2"/>
        <v>5,71559007959513</v>
      </c>
    </row>
    <row r="56" spans="4:8" x14ac:dyDescent="0.45">
      <c r="D56" s="27">
        <v>53</v>
      </c>
      <c r="E56" s="26">
        <f t="shared" si="3"/>
        <v>5.3000000000000007</v>
      </c>
      <c r="F56" s="26" t="str">
        <f>((IMSUM(IMPRODUCT(COMPLEX(0,1),'Cálculo Y1'!F56),IMPRODUCT(COMPLEX(0,1),'Cálculo Y2'!F56))))</f>
        <v>-3,6656238966276</v>
      </c>
      <c r="G56" s="26" t="str">
        <f>IMSUM(IMPRODUCT(($B$6/$B$7)^(1/2),'Cálculo Y1'!F56),IMPRODUCT((-1)*(($B$6/$B$7)^(1/2)),'Cálculo Y2'!F56))</f>
        <v>11,9105614420632</v>
      </c>
      <c r="H56" s="26" t="str">
        <f t="shared" si="2"/>
        <v>4,4978913388515</v>
      </c>
    </row>
    <row r="57" spans="4:8" x14ac:dyDescent="0.45">
      <c r="D57" s="27">
        <v>54</v>
      </c>
      <c r="E57" s="26">
        <f t="shared" si="3"/>
        <v>5.4</v>
      </c>
      <c r="F57" s="26" t="str">
        <f>((IMSUM(IMPRODUCT(COMPLEX(0,1),'Cálculo Y1'!F57),IMPRODUCT(COMPLEX(0,1),'Cálculo Y2'!F57))))</f>
        <v>-2,45417795480252</v>
      </c>
      <c r="G57" s="26" t="str">
        <f>IMSUM(IMPRODUCT(($B$6/$B$7)^(1/2),'Cálculo Y1'!F57),IMPRODUCT((-1)*(($B$6/$B$7)^(1/2)),'Cálculo Y2'!F57))</f>
        <v>12,2971919414588</v>
      </c>
      <c r="H57" s="26" t="str">
        <f t="shared" si="2"/>
        <v>3,22694244235851</v>
      </c>
    </row>
    <row r="58" spans="4:8" x14ac:dyDescent="0.45">
      <c r="D58" s="27">
        <v>55</v>
      </c>
      <c r="E58" s="26">
        <f t="shared" si="3"/>
        <v>5.5</v>
      </c>
      <c r="F58" s="26" t="str">
        <f>((IMSUM(IMPRODUCT(COMPLEX(0,1),'Cálculo Y1'!F58),IMPRODUCT(COMPLEX(0,1),'Cálculo Y2'!F58))))</f>
        <v>-1,21049598328549</v>
      </c>
      <c r="G58" s="26" t="str">
        <f>IMSUM(IMPRODUCT(($B$6/$B$7)^(1/2),'Cálculo Y1'!F58),IMPRODUCT((-1)*(($B$6/$B$7)^(1/2)),'Cálculo Y2'!F58))</f>
        <v>12,5546168166406</v>
      </c>
      <c r="H58" s="26" t="str">
        <f t="shared" si="2"/>
        <v>1,91603630885588</v>
      </c>
    </row>
    <row r="59" spans="4:8" x14ac:dyDescent="0.45">
      <c r="D59" s="27">
        <v>56</v>
      </c>
      <c r="E59" s="26">
        <f t="shared" si="3"/>
        <v>5.6000000000000005</v>
      </c>
      <c r="F59" s="26" t="str">
        <f>((IMSUM(IMPRODUCT(COMPLEX(0,1),'Cálculo Y1'!F59),IMPRODUCT(COMPLEX(0,1),'Cálculo Y2'!F59))))</f>
        <v>0,052324458741144</v>
      </c>
      <c r="G59" s="26" t="str">
        <f>IMSUM(IMPRODUCT(($B$6/$B$7)^(1/2),'Cálculo Y1'!F59),IMPRODUCT((-1)*(($B$6/$B$7)^(1/2)),'Cálculo Y2'!F59))</f>
        <v>12,679525433986</v>
      </c>
      <c r="H59" s="26" t="str">
        <f t="shared" si="2"/>
        <v>0,578942179131177</v>
      </c>
    </row>
    <row r="60" spans="4:8" x14ac:dyDescent="0.45">
      <c r="D60" s="27">
        <v>57</v>
      </c>
      <c r="E60" s="26">
        <f t="shared" si="3"/>
        <v>5.7</v>
      </c>
      <c r="F60" s="26" t="str">
        <f>((IMSUM(IMPRODUCT(COMPLEX(0,1),'Cálculo Y1'!F60),IMPRODUCT(COMPLEX(0,1),'Cálculo Y2'!F60))))</f>
        <v>1,32092420967985</v>
      </c>
      <c r="G60" s="26" t="str">
        <f>IMSUM(IMPRODUCT(($B$6/$B$7)^(1/2),'Cálculo Y1'!F60),IMPRODUCT((-1)*(($B$6/$B$7)^(1/2)),'Cálculo Y2'!F60))</f>
        <v>12,6700019062394</v>
      </c>
      <c r="H60" s="26" t="str">
        <f t="shared" si="2"/>
        <v>-0,770238667082212</v>
      </c>
    </row>
    <row r="61" spans="4:8" x14ac:dyDescent="0.45">
      <c r="D61" s="27">
        <v>58</v>
      </c>
      <c r="E61" s="26">
        <f t="shared" si="3"/>
        <v>5.8000000000000007</v>
      </c>
      <c r="F61" s="26" t="str">
        <f>((IMSUM(IMPRODUCT(COMPLEX(0,1),'Cálculo Y1'!F61),IMPRODUCT(COMPLEX(0,1),'Cálculo Y2'!F61))))</f>
        <v>2,58182339442814</v>
      </c>
      <c r="G61" s="26" t="str">
        <f>IMSUM(IMPRODUCT(($B$6/$B$7)^(1/2),'Cálculo Y1'!F61),IMPRODUCT((-1)*(($B$6/$B$7)^(1/2)),'Cálculo Y2'!F61))</f>
        <v>12,5255509082649</v>
      </c>
      <c r="H61" s="26" t="str">
        <f t="shared" si="2"/>
        <v>-2,11722121501438</v>
      </c>
    </row>
    <row r="62" spans="4:8" x14ac:dyDescent="0.45">
      <c r="D62" s="27">
        <v>59</v>
      </c>
      <c r="E62" s="26">
        <f t="shared" si="3"/>
        <v>5.9</v>
      </c>
      <c r="F62" s="26" t="str">
        <f>((IMSUM(IMPRODUCT(COMPLEX(0,1),'Cálculo Y1'!F62),IMPRODUCT(COMPLEX(0,1),'Cálculo Y2'!F62))))</f>
        <v>3,821564148578</v>
      </c>
      <c r="G62" s="26" t="str">
        <f>IMSUM(IMPRODUCT(($B$6/$B$7)^(1/2),'Cálculo Y1'!F62),IMPRODUCT((-1)*(($B$6/$B$7)^(1/2)),'Cálculo Y2'!F62))</f>
        <v>12,2471085260523</v>
      </c>
      <c r="H62" s="26" t="str">
        <f t="shared" si="2"/>
        <v>-3,44768748374776</v>
      </c>
    </row>
    <row r="63" spans="4:8" x14ac:dyDescent="0.45">
      <c r="D63" s="27">
        <v>60</v>
      </c>
      <c r="E63" s="26">
        <f t="shared" si="3"/>
        <v>6</v>
      </c>
      <c r="F63" s="26" t="str">
        <f>((IMSUM(IMPRODUCT(COMPLEX(0,1),'Cálculo Y1'!F63),IMPRODUCT(COMPLEX(0,1),'Cálculo Y2'!F63))))</f>
        <v>5,02685367154146</v>
      </c>
      <c r="G63" s="26" t="str">
        <f>IMSUM(IMPRODUCT(($B$6/$B$7)^(1/2),'Cálculo Y1'!F63),IMPRODUCT((-1)*(($B$6/$B$7)^(1/2)),'Cálculo Y2'!F63))</f>
        <v>11,8370379716263</v>
      </c>
      <c r="H63" s="26" t="str">
        <f t="shared" si="2"/>
        <v>-4,74743817334253</v>
      </c>
    </row>
    <row r="64" spans="4:8" x14ac:dyDescent="0.45">
      <c r="D64" s="27">
        <v>61</v>
      </c>
      <c r="E64" s="26">
        <f t="shared" si="3"/>
        <v>6.1000000000000005</v>
      </c>
      <c r="F64" s="26" t="str">
        <f>((IMSUM(IMPRODUCT(COMPLEX(0,1),'Cálculo Y1'!F64),IMPRODUCT(COMPLEX(0,1),'Cálculo Y2'!F64))))</f>
        <v>6,18470609346816</v>
      </c>
      <c r="G64" s="26" t="str">
        <f>IMSUM(IMPRODUCT(($B$6/$B$7)^(1/2),'Cálculo Y1'!F64),IMPRODUCT((-1)*(($B$6/$B$7)^(1/2)),'Cálculo Y2'!F64))</f>
        <v>11,2991101560381</v>
      </c>
      <c r="H64" s="26" t="str">
        <f t="shared" si="2"/>
        <v>-6,00254358919606</v>
      </c>
    </row>
    <row r="65" spans="4:8" x14ac:dyDescent="0.45">
      <c r="D65" s="27">
        <v>62</v>
      </c>
      <c r="E65" s="26">
        <f t="shared" si="3"/>
        <v>6.2</v>
      </c>
      <c r="F65" s="26" t="str">
        <f>((IMSUM(IMPRODUCT(COMPLEX(0,1),'Cálculo Y1'!F65),IMPRODUCT(COMPLEX(0,1),'Cálculo Y2'!F65))))</f>
        <v>7,28258164804688</v>
      </c>
      <c r="G65" s="26" t="str">
        <f>IMSUM(IMPRODUCT(($B$6/$B$7)^(1/2),'Cálculo Y1'!F65),IMPRODUCT((-1)*(($B$6/$B$7)^(1/2)),'Cálculo Y2'!F65))</f>
        <v>10,6384692727263</v>
      </c>
      <c r="H65" s="26" t="str">
        <f t="shared" si="2"/>
        <v>-7,19949224522938</v>
      </c>
    </row>
    <row r="66" spans="4:8" x14ac:dyDescent="0.45">
      <c r="D66" s="27">
        <v>63</v>
      </c>
      <c r="E66" s="26">
        <f t="shared" si="3"/>
        <v>6.3000000000000007</v>
      </c>
      <c r="F66" s="26" t="str">
        <f>((IMSUM(IMPRODUCT(COMPLEX(0,1),'Cálculo Y1'!F66),IMPRODUCT(COMPLEX(0,1),'Cálculo Y2'!F66))))</f>
        <v>8,30852166647802</v>
      </c>
      <c r="G66" s="26" t="str">
        <f>IMSUM(IMPRODUCT(($B$6/$B$7)^(1/2),'Cálculo Y1'!F66),IMPRODUCT((-1)*(($B$6/$B$7)^(1/2)),'Cálculo Y2'!F66))</f>
        <v>9,86158370254502</v>
      </c>
      <c r="H66" s="26" t="str">
        <f t="shared" si="2"/>
        <v>-8,32533556696237</v>
      </c>
    </row>
    <row r="67" spans="4:8" x14ac:dyDescent="0.45">
      <c r="D67" s="27">
        <v>64</v>
      </c>
      <c r="E67" s="26">
        <f t="shared" si="3"/>
        <v>6.4</v>
      </c>
      <c r="F67" s="26" t="str">
        <f>((IMSUM(IMPRODUCT(COMPLEX(0,1),'Cálculo Y1'!F67),IMPRODUCT(COMPLEX(0,1),'Cálculo Y2'!F67))))</f>
        <v>9,25127794687536</v>
      </c>
      <c r="G67" s="26" t="str">
        <f>IMSUM(IMPRODUCT(($B$6/$B$7)^(1/2),'Cálculo Y1'!F67),IMPRODUCT((-1)*(($B$6/$B$7)^(1/2)),'Cálculo Y2'!F67))</f>
        <v>8,97618270797832</v>
      </c>
      <c r="H67" s="26" t="str">
        <f t="shared" si="2"/>
        <v>-9,36782715172585</v>
      </c>
    </row>
    <row r="68" spans="4:8" x14ac:dyDescent="0.45">
      <c r="D68" s="27">
        <v>65</v>
      </c>
      <c r="E68" s="26">
        <f t="shared" ref="E68:E99" si="4">D68*$B$4+$B$3</f>
        <v>6.5</v>
      </c>
      <c r="F68" s="26" t="str">
        <f>((IMSUM(IMPRODUCT(COMPLEX(0,1),'Cálculo Y1'!F68),IMPRODUCT(COMPLEX(0,1),'Cálculo Y2'!F68))))</f>
        <v>10,1004351077397</v>
      </c>
      <c r="G68" s="26" t="str">
        <f>IMSUM(IMPRODUCT(($B$6/$B$7)^(1/2),'Cálculo Y1'!F68),IMPRODUCT((-1)*(($B$6/$B$7)^(1/2)),'Cálculo Y2'!F68))</f>
        <v>7,99117953583924</v>
      </c>
      <c r="H68" s="26" t="str">
        <f t="shared" si="2"/>
        <v>-10,3155550958275</v>
      </c>
    </row>
    <row r="69" spans="4:8" x14ac:dyDescent="0.45">
      <c r="D69" s="27">
        <v>66</v>
      </c>
      <c r="E69" s="26">
        <f t="shared" si="4"/>
        <v>6.6000000000000005</v>
      </c>
      <c r="F69" s="26" t="str">
        <f>((IMSUM(IMPRODUCT(COMPLEX(0,1),'Cálculo Y1'!F69),IMPRODUCT(COMPLEX(0,1),'Cálculo Y2'!F69))))</f>
        <v>10,8465246034204</v>
      </c>
      <c r="G69" s="26" t="str">
        <f>IMSUM(IMPRODUCT(($B$6/$B$7)^(1/2),'Cálculo Y1'!F69),IMPRODUCT((-1)*(($B$6/$B$7)^(1/2)),'Cálculo Y2'!F69))</f>
        <v>6,91658169348144</v>
      </c>
      <c r="H69" s="26" t="str">
        <f t="shared" si="2"/>
        <v>-11,1580659669338</v>
      </c>
    </row>
    <row r="70" spans="4:8" x14ac:dyDescent="0.45">
      <c r="D70" s="27">
        <v>67</v>
      </c>
      <c r="E70" s="26">
        <f t="shared" si="4"/>
        <v>6.7</v>
      </c>
      <c r="F70" s="26" t="str">
        <f>((IMSUM(IMPRODUCT(COMPLEX(0,1),'Cálculo Y1'!F70),IMPRODUCT(COMPLEX(0,1),'Cálculo Y2'!F70))))</f>
        <v>11,4811291629599</v>
      </c>
      <c r="G70" s="26" t="str">
        <f>IMSUM(IMPRODUCT(($B$6/$B$7)^(1/2),'Cálculo Y1'!F70),IMPRODUCT((-1)*(($B$6/$B$7)^(1/2)),'Cálculo Y2'!F70))</f>
        <v>5,76338930166268</v>
      </c>
      <c r="H70" s="26" t="str">
        <f t="shared" ref="H70:H103" si="5">IMSUM($B$8*SIN(E70)/$B$7,IMPRODUCT(-1*$B$6/$B$7,F70))</f>
        <v>-11,8859790835765</v>
      </c>
    </row>
    <row r="71" spans="4:8" x14ac:dyDescent="0.45">
      <c r="D71" s="27">
        <v>68</v>
      </c>
      <c r="E71" s="26">
        <f t="shared" si="4"/>
        <v>6.8000000000000007</v>
      </c>
      <c r="F71" s="26" t="str">
        <f>((IMSUM(IMPRODUCT(COMPLEX(0,1),'Cálculo Y1'!F71),IMPRODUCT(COMPLEX(0,1),'Cálculo Y2'!F71))))</f>
        <v>11,9969765105603</v>
      </c>
      <c r="G71" s="26" t="str">
        <f>IMSUM(IMPRODUCT(($B$6/$B$7)^(1/2),'Cálculo Y1'!F71),IMPRODUCT((-1)*(($B$6/$B$7)^(1/2)),'Cálculo Y2'!F71))</f>
        <v>4,54348255622586</v>
      </c>
      <c r="H71" s="26" t="str">
        <f t="shared" si="5"/>
        <v>-12,4910898616989</v>
      </c>
    </row>
    <row r="72" spans="4:8" x14ac:dyDescent="0.45">
      <c r="D72" s="27">
        <v>69</v>
      </c>
      <c r="E72" s="26">
        <f t="shared" si="4"/>
        <v>6.9</v>
      </c>
      <c r="F72" s="26" t="str">
        <f>((IMSUM(IMPRODUCT(COMPLEX(0,1),'Cálculo Y1'!F72),IMPRODUCT(COMPLEX(0,1),'Cálculo Y2'!F72))))</f>
        <v>12,3880213351518</v>
      </c>
      <c r="G72" s="26" t="str">
        <f>IMSUM(IMPRODUCT(($B$6/$B$7)^(1/2),'Cálculo Y1'!F72),IMPRODUCT((-1)*(($B$6/$B$7)^(1/2)),'Cálculo Y2'!F72))</f>
        <v>3,2694994493086</v>
      </c>
      <c r="H72" s="26" t="str">
        <f t="shared" si="5"/>
        <v>-12,96646109954</v>
      </c>
    </row>
    <row r="73" spans="4:8" x14ac:dyDescent="0.45">
      <c r="D73" s="27">
        <v>70</v>
      </c>
      <c r="E73" s="26">
        <f t="shared" si="4"/>
        <v>7</v>
      </c>
      <c r="F73" s="26" t="str">
        <f>((IMSUM(IMPRODUCT(COMPLEX(0,1),'Cálculo Y1'!F73),IMPRODUCT(COMPLEX(0,1),'Cálculo Y2'!F73))))</f>
        <v>12,6495145970521</v>
      </c>
      <c r="G73" s="26" t="str">
        <f>IMSUM(IMPRODUCT(($B$6/$B$7)^(1/2),'Cálculo Y1'!F73),IMPRODUCT((-1)*(($B$6/$B$7)^(1/2)),'Cálculo Y2'!F73))</f>
        <v>1,95470500757884</v>
      </c>
      <c r="H73" s="26" t="str">
        <f t="shared" si="5"/>
        <v>-13,3065011957709</v>
      </c>
    </row>
    <row r="74" spans="4:8" x14ac:dyDescent="0.45">
      <c r="D74" s="27">
        <v>71</v>
      </c>
      <c r="E74" s="26">
        <f t="shared" si="4"/>
        <v>7.1000000000000005</v>
      </c>
      <c r="F74" s="26" t="str">
        <f>((IMSUM(IMPRODUCT(COMPLEX(0,1),'Cálculo Y1'!F74),IMPRODUCT(COMPLEX(0,1),'Cálculo Y2'!F74))))</f>
        <v>12,7780593902641</v>
      </c>
      <c r="G74" s="26" t="str">
        <f>IMSUM(IMPRODUCT(($B$6/$B$7)^(1/2),'Cálculo Y1'!F74),IMPRODUCT((-1)*(($B$6/$B$7)^(1/2)),'Cálculo Y2'!F74))</f>
        <v>0,612853398858686</v>
      </c>
      <c r="H74" s="26" t="str">
        <f t="shared" si="5"/>
        <v>-13,50702843039</v>
      </c>
    </row>
    <row r="75" spans="4:8" x14ac:dyDescent="0.45">
      <c r="D75" s="27">
        <v>72</v>
      </c>
      <c r="E75" s="26">
        <f t="shared" si="4"/>
        <v>7.2</v>
      </c>
      <c r="F75" s="26" t="str">
        <f>((IMSUM(IMPRODUCT(COMPLEX(0,1),'Cálculo Y1'!F75),IMPRODUCT(COMPLEX(0,1),'Cálculo Y2'!F75))))</f>
        <v>12,7716527182092</v>
      </c>
      <c r="G75" s="26" t="str">
        <f>IMSUM(IMPRODUCT(($B$6/$B$7)^(1/2),'Cálculo Y1'!F75),IMPRODUCT((-1)*(($B$6/$B$7)^(1/2)),'Cálculo Y2'!F75))</f>
        <v>-0,741955661587118</v>
      </c>
      <c r="H75" s="26" t="str">
        <f t="shared" si="5"/>
        <v>-13,5653205820584</v>
      </c>
    </row>
    <row r="76" spans="4:8" x14ac:dyDescent="0.45">
      <c r="D76" s="27">
        <v>73</v>
      </c>
      <c r="E76" s="26">
        <f t="shared" si="4"/>
        <v>7.3000000000000007</v>
      </c>
      <c r="F76" s="26" t="str">
        <f>((IMSUM(IMPRODUCT(COMPLEX(0,1),'Cálculo Y1'!F76),IMPRODUCT(COMPLEX(0,1),'Cálculo Y2'!F76))))</f>
        <v>12,6297126872024</v>
      </c>
      <c r="G76" s="26" t="str">
        <f>IMSUM(IMPRODUCT(($B$6/$B$7)^(1/2),'Cálculo Y1'!F76),IMPRODUCT((-1)*(($B$6/$B$7)^(1/2)),'Cálculo Y2'!F76))</f>
        <v>-2,09542470874248</v>
      </c>
      <c r="H76" s="26" t="str">
        <f t="shared" si="5"/>
        <v>-13,480149307831</v>
      </c>
    </row>
    <row r="77" spans="4:8" x14ac:dyDescent="0.45">
      <c r="D77" s="27">
        <v>74</v>
      </c>
      <c r="E77" s="26">
        <f t="shared" si="4"/>
        <v>7.4</v>
      </c>
      <c r="F77" s="26" t="str">
        <f>((IMSUM(IMPRODUCT(COMPLEX(0,1),'Cálculo Y1'!F77),IMPRODUCT(COMPLEX(0,1),'Cálculo Y2'!F77))))</f>
        <v>12,3530907742193</v>
      </c>
      <c r="G77" s="26" t="str">
        <f>IMSUM(IMPRODUCT(($B$6/$B$7)^(1/2),'Cálculo Y1'!F77),IMPRODUCT((-1)*(($B$6/$B$7)^(1/2)),'Cálculo Y2'!F77))</f>
        <v>-3,4332089836431</v>
      </c>
      <c r="H77" s="26" t="str">
        <f t="shared" si="5"/>
        <v>-13,2517988700309</v>
      </c>
    </row>
    <row r="78" spans="4:8" x14ac:dyDescent="0.45">
      <c r="D78" s="27">
        <v>75</v>
      </c>
      <c r="E78" s="26">
        <f t="shared" si="4"/>
        <v>7.5</v>
      </c>
      <c r="F78" s="26" t="str">
        <f>((IMSUM(IMPRODUCT(COMPLEX(0,1),'Cálculo Y1'!F78),IMPRODUCT(COMPLEX(0,1),'Cálculo Y2'!F78))))</f>
        <v>11,9440689818974</v>
      </c>
      <c r="G78" s="26" t="str">
        <f>IMSUM(IMPRODUCT(($B$6/$B$7)^(1/2),'Cálculo Y1'!F78),IMPRODUCT((-1)*(($B$6/$B$7)^(1/2)),'Cálculo Y2'!F78))</f>
        <v>-4,74106796804762</v>
      </c>
      <c r="H78" s="26" t="str">
        <f t="shared" si="5"/>
        <v>-12,8820689586721</v>
      </c>
    </row>
    <row r="79" spans="4:8" x14ac:dyDescent="0.45">
      <c r="D79" s="27">
        <v>76</v>
      </c>
      <c r="E79" s="26">
        <f t="shared" si="4"/>
        <v>7.6000000000000005</v>
      </c>
      <c r="F79" s="26" t="str">
        <f>((IMSUM(IMPRODUCT(COMPLEX(0,1),'Cálculo Y1'!F79),IMPRODUCT(COMPLEX(0,1),'Cálculo Y2'!F79))))</f>
        <v>11,4063418526162</v>
      </c>
      <c r="G79" s="26" t="str">
        <f>IMSUM(IMPRODUCT(($B$6/$B$7)^(1/2),'Cálculo Y1'!F79),IMPRODUCT((-1)*(($B$6/$B$7)^(1/2)),'Cálculo Y2'!F79))</f>
        <v>-6,00501640189516</v>
      </c>
      <c r="H79" s="26" t="str">
        <f t="shared" si="5"/>
        <v>-12,3742615246477</v>
      </c>
    </row>
    <row r="80" spans="4:8" x14ac:dyDescent="0.45">
      <c r="D80" s="27">
        <v>77</v>
      </c>
      <c r="E80" s="26">
        <f t="shared" si="4"/>
        <v>7.7</v>
      </c>
      <c r="F80" s="26" t="str">
        <f>((IMSUM(IMPRODUCT(COMPLEX(0,1),'Cálculo Y1'!F80),IMPRODUCT(COMPLEX(0,1),'Cálculo Y2'!F80))))</f>
        <v>10,744983473258</v>
      </c>
      <c r="G80" s="26" t="str">
        <f>IMSUM(IMPRODUCT(($B$6/$B$7)^(1/2),'Cálculo Y1'!F80),IMPRODUCT((-1)*(($B$6/$B$7)^(1/2)),'Cálculo Y2'!F80))</f>
        <v>-7,21147318739654</v>
      </c>
      <c r="H80" s="26" t="str">
        <f t="shared" si="5"/>
        <v>-11,733151707135</v>
      </c>
    </row>
    <row r="81" spans="4:8" x14ac:dyDescent="0.45">
      <c r="D81" s="27">
        <v>78</v>
      </c>
      <c r="E81" s="26">
        <f t="shared" si="4"/>
        <v>7.8000000000000007</v>
      </c>
      <c r="F81" s="26" t="str">
        <f>((IMSUM(IMPRODUCT(COMPLEX(0,1),'Cálculo Y1'!F81),IMPRODUCT(COMPLEX(0,1),'Cálculo Y2'!F81))))</f>
        <v>9,96639976116186</v>
      </c>
      <c r="G81" s="26" t="str">
        <f>IMSUM(IMPRODUCT(($B$6/$B$7)^(1/2),'Cálculo Y1'!F81),IMPRODUCT((-1)*(($B$6/$B$7)^(1/2)),'Cálculo Y2'!F81))</f>
        <v>-8,34740660035528</v>
      </c>
      <c r="H81" s="26" t="str">
        <f t="shared" si="5"/>
        <v>-10,9649431065365</v>
      </c>
    </row>
    <row r="82" spans="4:8" x14ac:dyDescent="0.45">
      <c r="D82" s="27">
        <v>79</v>
      </c>
      <c r="E82" s="26">
        <f t="shared" si="4"/>
        <v>7.9</v>
      </c>
      <c r="F82" s="26" t="str">
        <f>((IMSUM(IMPRODUCT(COMPLEX(0,1),'Cálculo Y1'!F82),IMPRODUCT(COMPLEX(0,1),'Cálculo Y2'!F82))))</f>
        <v>9,07826647819688</v>
      </c>
      <c r="G82" s="26" t="str">
        <f>IMSUM(IMPRODUCT(($B$6/$B$7)^(1/2),'Cálculo Y1'!F82),IMPRODUCT((-1)*(($B$6/$B$7)^(1/2)),'Cálculo Y2'!F82))</f>
        <v>-9,4004742627594</v>
      </c>
      <c r="H82" s="26" t="str">
        <f t="shared" si="5"/>
        <v>-10,0772078200367</v>
      </c>
    </row>
    <row r="83" spans="4:8" x14ac:dyDescent="0.45">
      <c r="D83" s="27">
        <v>80</v>
      </c>
      <c r="E83" s="26">
        <f t="shared" si="4"/>
        <v>8</v>
      </c>
      <c r="F83" s="26" t="str">
        <f>((IMSUM(IMPRODUCT(COMPLEX(0,1),'Cálculo Y1'!F83),IMPRODUCT(COMPLEX(0,1),'Cálculo Y2'!F83))))</f>
        <v>8,0894535721124</v>
      </c>
      <c r="G83" s="26" t="str">
        <f>IMSUM(IMPRODUCT(($B$6/$B$7)^(1/2),'Cálculo Y1'!F83),IMPRODUCT((-1)*(($B$6/$B$7)^(1/2)),'Cálculo Y2'!F83))</f>
        <v>-10,3591563805267</v>
      </c>
      <c r="H83" s="26" t="str">
        <f t="shared" si="5"/>
        <v>-9,07881181873578</v>
      </c>
    </row>
    <row r="84" spans="4:8" x14ac:dyDescent="0.45">
      <c r="D84" s="27">
        <v>81</v>
      </c>
      <c r="E84" s="26">
        <f t="shared" si="4"/>
        <v>8.1</v>
      </c>
      <c r="F84" s="26" t="str">
        <f>((IMSUM(IMPRODUCT(COMPLEX(0,1),'Cálculo Y1'!F84),IMPRODUCT(COMPLEX(0,1),'Cálculo Y2'!F84))))</f>
        <v>7,00993659078206</v>
      </c>
      <c r="G84" s="26" t="str">
        <f>IMSUM(IMPRODUCT(($B$6/$B$7)^(1/2),'Cálculo Y1'!F84),IMPRODUCT((-1)*(($B$6/$B$7)^(1/2)),'Cálculo Y2'!F84))</f>
        <v>-11,2128808160505</v>
      </c>
      <c r="H84" s="26" t="str">
        <f t="shared" si="5"/>
        <v>-7,97982640162715</v>
      </c>
    </row>
    <row r="85" spans="4:8" x14ac:dyDescent="0.45">
      <c r="D85" s="27">
        <v>82</v>
      </c>
      <c r="E85" s="26">
        <f t="shared" si="4"/>
        <v>8.2000000000000011</v>
      </c>
      <c r="F85" s="26" t="str">
        <f>((IMSUM(IMPRODUCT(COMPLEX(0,1),'Cálculo Y1'!F85),IMPRODUCT(COMPLEX(0,1),'Cálculo Y2'!F85))))</f>
        <v>5,8506960540622</v>
      </c>
      <c r="G85" s="26" t="str">
        <f>IMSUM(IMPRODUCT(($B$6/$B$7)^(1/2),'Cálculo Y1'!F85),IMPRODUCT((-1)*(($B$6/$B$7)^(1/2)),'Cálculo Y2'!F85))</f>
        <v>-11,9521386462408</v>
      </c>
      <c r="H85" s="26" t="str">
        <f t="shared" si="5"/>
        <v>-6,79142661074197</v>
      </c>
    </row>
    <row r="86" spans="4:8" x14ac:dyDescent="0.45">
      <c r="D86" s="27">
        <v>83</v>
      </c>
      <c r="E86" s="26">
        <f t="shared" si="4"/>
        <v>8.3000000000000007</v>
      </c>
      <c r="F86" s="26" t="str">
        <f>((IMSUM(IMPRODUCT(COMPLEX(0,1),'Cálculo Y1'!F86),IMPRODUCT(COMPLEX(0,1),'Cálculo Y2'!F86))))</f>
        <v>4,6236057982578</v>
      </c>
      <c r="G86" s="26" t="str">
        <f>IMSUM(IMPRODUCT(($B$6/$B$7)^(1/2),'Cálculo Y1'!F86),IMPRODUCT((-1)*(($B$6/$B$7)^(1/2)),'Cálculo Y2'!F86))</f>
        <v>-12,5685889522771</v>
      </c>
      <c r="H86" s="26" t="str">
        <f t="shared" si="5"/>
        <v>-5,52577763201409</v>
      </c>
    </row>
    <row r="87" spans="4:8" x14ac:dyDescent="0.45">
      <c r="D87" s="27">
        <v>84</v>
      </c>
      <c r="E87" s="26">
        <f t="shared" si="4"/>
        <v>8.4</v>
      </c>
      <c r="F87" s="26" t="str">
        <f>((IMSUM(IMPRODUCT(COMPLEX(0,1),'Cálculo Y1'!F87),IMPRODUCT(COMPLEX(0,1),'Cálculo Y2'!F87))))</f>
        <v>3,34131142822296</v>
      </c>
      <c r="G87" s="26" t="str">
        <f>IMSUM(IMPRODUCT(($B$6/$B$7)^(1/2),'Cálculo Y1'!F87),IMPRODUCT((-1)*(($B$6/$B$7)^(1/2)),'Cálculo Y2'!F87))</f>
        <v>-13,0551516963343</v>
      </c>
      <c r="H87" s="26" t="str">
        <f t="shared" si="5"/>
        <v>-4,19591033631124</v>
      </c>
    </row>
    <row r="88" spans="4:8" x14ac:dyDescent="0.45">
      <c r="D88" s="27">
        <v>85</v>
      </c>
      <c r="E88" s="26">
        <f t="shared" si="4"/>
        <v>8.5</v>
      </c>
      <c r="F88" s="26" t="str">
        <f>((IMSUM(IMPRODUCT(COMPLEX(0,1),'Cálculo Y1'!F88),IMPRODUCT(COMPLEX(0,1),'Cálculo Y2'!F88))))</f>
        <v>2,01710012062258</v>
      </c>
      <c r="G88" s="26" t="str">
        <f>IMSUM(IMPRODUCT(($B$6/$B$7)^(1/2),'Cálculo Y1'!F88),IMPRODUCT((-1)*(($B$6/$B$7)^(1/2)),'Cálculo Y2'!F88))</f>
        <v>-13,4060876619957</v>
      </c>
      <c r="H88" s="26" t="str">
        <f t="shared" si="5"/>
        <v>-2,81558723324607</v>
      </c>
    </row>
    <row r="89" spans="4:8" x14ac:dyDescent="0.45">
      <c r="D89" s="27">
        <v>86</v>
      </c>
      <c r="E89" s="26">
        <f t="shared" si="4"/>
        <v>8.6</v>
      </c>
      <c r="F89" s="26" t="str">
        <f>((IMSUM(IMPRODUCT(COMPLEX(0,1),'Cálculo Y1'!F89),IMPRODUCT(COMPLEX(0,1),'Cálculo Y2'!F89))))</f>
        <v>0,664763117666436</v>
      </c>
      <c r="G89" s="26" t="str">
        <f>IMSUM(IMPRODUCT(($B$6/$B$7)^(1/2),'Cálculo Y1'!F89),IMPRODUCT((-1)*(($B$6/$B$7)^(1/2)),'Cálculo Y2'!F89))</f>
        <v>-13,6170645677035</v>
      </c>
      <c r="H89" s="26" t="str">
        <f t="shared" si="5"/>
        <v>-1,39916021554055</v>
      </c>
    </row>
    <row r="90" spans="4:8" x14ac:dyDescent="0.45">
      <c r="D90" s="27">
        <v>87</v>
      </c>
      <c r="E90" s="26">
        <f t="shared" si="4"/>
        <v>8.7000000000000011</v>
      </c>
      <c r="F90" s="26" t="str">
        <f>((IMSUM(IMPRODUCT(COMPLEX(0,1),'Cálculo Y1'!F90),IMPRODUCT(COMPLEX(0,1),'Cálculo Y2'!F90))))</f>
        <v>-0,701547667355194</v>
      </c>
      <c r="G90" s="26" t="str">
        <f>IMSUM(IMPRODUCT(($B$6/$B$7)^(1/2),'Cálculo Y1'!F90),IMPRODUCT((-1)*(($B$6/$B$7)^(1/2)),'Cálculo Y2'!F90))</f>
        <v>-13,6852086050433</v>
      </c>
      <c r="H90" s="26" t="str">
        <f t="shared" si="5"/>
        <v>0,038578437273012</v>
      </c>
    </row>
    <row r="91" spans="4:8" x14ac:dyDescent="0.45">
      <c r="D91" s="27">
        <v>88</v>
      </c>
      <c r="E91" s="26">
        <f t="shared" si="4"/>
        <v>8.8000000000000007</v>
      </c>
      <c r="F91" s="26" t="str">
        <f>((IMSUM(IMPRODUCT(COMPLEX(0,1),'Cálculo Y1'!F91),IMPRODUCT(COMPLEX(0,1),'Cálculo Y2'!F91))))</f>
        <v>-2,06746744406138</v>
      </c>
      <c r="G91" s="26" t="str">
        <f>IMSUM(IMPRODUCT(($B$6/$B$7)^(1/2),'Cálculo Y1'!F91),IMPRODUCT((-1)*(($B$6/$B$7)^(1/2)),'Cálculo Y2'!F91))</f>
        <v>-13,6091408044641</v>
      </c>
      <c r="H91" s="26" t="str">
        <f t="shared" si="5"/>
        <v>1,48255025116962</v>
      </c>
    </row>
    <row r="92" spans="4:8" x14ac:dyDescent="0.45">
      <c r="D92" s="27">
        <v>89</v>
      </c>
      <c r="E92" s="26">
        <f t="shared" si="4"/>
        <v>8.9</v>
      </c>
      <c r="F92" s="26" t="str">
        <f>((IMSUM(IMPRODUCT(COMPLEX(0,1),'Cálculo Y1'!F92),IMPRODUCT(COMPLEX(0,1),'Cálculo Y2'!F92))))</f>
        <v>-3,41856919791316</v>
      </c>
      <c r="G92" s="26" t="str">
        <f>IMSUM(IMPRODUCT(($B$6/$B$7)^(1/2),'Cálculo Y1'!F92),IMPRODUCT((-1)*(($B$6/$B$7)^(1/2)),'Cálculo Y2'!F92))</f>
        <v>-13,3889977886269</v>
      </c>
      <c r="H92" s="26" t="str">
        <f t="shared" si="5"/>
        <v>2,91754834145528</v>
      </c>
    </row>
    <row r="93" spans="4:8" x14ac:dyDescent="0.45">
      <c r="D93" s="27">
        <v>90</v>
      </c>
      <c r="E93" s="26">
        <f t="shared" si="4"/>
        <v>9</v>
      </c>
      <c r="F93" s="26" t="str">
        <f>((IMSUM(IMPRODUCT(COMPLEX(0,1),'Cálculo Y1'!F93),IMPRODUCT(COMPLEX(0,1),'Cálculo Y2'!F93))))</f>
        <v>-4,74051562562714</v>
      </c>
      <c r="G93" s="26" t="str">
        <f>IMSUM(IMPRODUCT(($B$6/$B$7)^(1/2),'Cálculo Y1'!F93),IMPRODUCT((-1)*(($B$6/$B$7)^(1/2)),'Cálculo Y2'!F93))</f>
        <v>-13,0264366363273</v>
      </c>
      <c r="H93" s="26" t="str">
        <f t="shared" si="5"/>
        <v>4,32839714038538</v>
      </c>
    </row>
    <row r="94" spans="4:8" x14ac:dyDescent="0.45">
      <c r="D94" s="27">
        <v>91</v>
      </c>
      <c r="E94" s="26">
        <f t="shared" si="4"/>
        <v>9.1</v>
      </c>
      <c r="F94" s="26" t="str">
        <f>((IMSUM(IMPRODUCT(COMPLEX(0,1),'Cálculo Y1'!F94),IMPRODUCT(COMPLEX(0,1),'Cálculo Y2'!F94))))</f>
        <v>-6,01921075719204</v>
      </c>
      <c r="G94" s="26" t="str">
        <f>IMSUM(IMPRODUCT(($B$6/$B$7)^(1/2),'Cálculo Y1'!F94),IMPRODUCT((-1)*(($B$6/$B$7)^(1/2)),'Cálculo Y2'!F94))</f>
        <v>-12,5246237461576</v>
      </c>
      <c r="H94" s="26" t="str">
        <f t="shared" si="5"/>
        <v>5,70011239484269</v>
      </c>
    </row>
    <row r="95" spans="4:8" x14ac:dyDescent="0.45">
      <c r="D95" s="27">
        <v>92</v>
      </c>
      <c r="E95" s="26">
        <f t="shared" si="4"/>
        <v>9.2000000000000011</v>
      </c>
      <c r="F95" s="26" t="str">
        <f>((IMSUM(IMPRODUCT(COMPLEX(0,1),'Cálculo Y1'!F95),IMPRODUCT(COMPLEX(0,1),'Cálculo Y2'!F95))))</f>
        <v>-7,24094966591674</v>
      </c>
      <c r="G95" s="26" t="str">
        <f>IMSUM(IMPRODUCT(($B$6/$B$7)^(1/2),'Cálculo Y1'!F95),IMPRODUCT((-1)*(($B$6/$B$7)^(1/2)),'Cálculo Y2'!F95))</f>
        <v>-11,8882077570148</v>
      </c>
      <c r="H95" s="26" t="str">
        <f t="shared" si="5"/>
        <v>7,01805975181649</v>
      </c>
    </row>
    <row r="96" spans="4:8" x14ac:dyDescent="0.45">
      <c r="D96" s="27">
        <v>93</v>
      </c>
      <c r="E96" s="26">
        <f t="shared" si="4"/>
        <v>9.3000000000000007</v>
      </c>
      <c r="F96" s="26" t="str">
        <f>((IMSUM(IMPRODUCT(COMPLEX(0,1),'Cálculo Y1'!F96),IMPRODUCT(COMPLEX(0,1),'Cálculo Y2'!F96))))</f>
        <v>-8,39256468205286</v>
      </c>
      <c r="G96" s="26" t="str">
        <f>IMSUM(IMPRODUCT(($B$6/$B$7)^(1/2),'Cálculo Y1'!F96),IMPRODUCT((-1)*(($B$6/$B$7)^(1/2)),'Cálculo Y2'!F96))</f>
        <v>-11,1232767504835</v>
      </c>
      <c r="H96" s="26" t="str">
        <f t="shared" si="5"/>
        <v>8,2681102585458</v>
      </c>
    </row>
    <row r="97" spans="4:8" x14ac:dyDescent="0.45">
      <c r="D97" s="27">
        <v>94</v>
      </c>
      <c r="E97" s="26">
        <f t="shared" si="4"/>
        <v>9.4</v>
      </c>
      <c r="F97" s="26" t="str">
        <f>((IMSUM(IMPRODUCT(COMPLEX(0,1),'Cálculo Y1'!F97),IMPRODUCT(COMPLEX(0,1),'Cálculo Y2'!F97))))</f>
        <v>-9,46156655636576</v>
      </c>
      <c r="G97" s="26" t="str">
        <f>IMSUM(IMPRODUCT(($B$6/$B$7)^(1/2),'Cálculo Y1'!F97),IMPRODUCT((-1)*(($B$6/$B$7)^(1/2)),'Cálculo Y2'!F97))</f>
        <v>-10,2373001262418</v>
      </c>
      <c r="H97" s="26" t="str">
        <f t="shared" si="5"/>
        <v>9,4367911309124</v>
      </c>
    </row>
    <row r="98" spans="4:8" x14ac:dyDescent="0.45">
      <c r="D98" s="27">
        <v>95</v>
      </c>
      <c r="E98" s="26">
        <f t="shared" si="4"/>
        <v>9.5</v>
      </c>
      <c r="F98" s="26" t="str">
        <f>((IMSUM(IMPRODUCT(COMPLEX(0,1),'Cálculo Y1'!F98),IMPRODUCT(COMPLEX(0,1),'Cálculo Y2'!F98))))</f>
        <v>-10,4362790673087</v>
      </c>
      <c r="G98" s="26" t="str">
        <f>IMSUM(IMPRODUCT(($B$6/$B$7)^(1/2),'Cálculo Y1'!F98),IMPRODUCT((-1)*(($B$6/$B$7)^(1/2)),'Cálculo Y2'!F98))</f>
        <v>-9,23905570421918</v>
      </c>
      <c r="H98" s="26" t="str">
        <f t="shared" si="5"/>
        <v>10,5114301877705</v>
      </c>
    </row>
    <row r="99" spans="4:8" x14ac:dyDescent="0.45">
      <c r="D99" s="27">
        <v>96</v>
      </c>
      <c r="E99" s="26">
        <f t="shared" si="4"/>
        <v>9.6000000000000014</v>
      </c>
      <c r="F99" s="26" t="str">
        <f>((IMSUM(IMPRODUCT(COMPLEX(0,1),'Cálculo Y1'!F99),IMPRODUCT(COMPLEX(0,1),'Cálculo Y2'!F99))))</f>
        <v>-11,3059656287447</v>
      </c>
      <c r="G99" s="26" t="str">
        <f>IMSUM(IMPRODUCT(($B$6/$B$7)^(1/2),'Cálculo Y1'!F99),IMPRODUCT((-1)*(($B$6/$B$7)^(1/2)),'Cálculo Y2'!F99))</f>
        <v>-8,13854276455446</v>
      </c>
      <c r="H99" s="26" t="str">
        <f t="shared" si="5"/>
        <v>11,4802924099677</v>
      </c>
    </row>
    <row r="100" spans="4:8" x14ac:dyDescent="0.45">
      <c r="D100" s="27">
        <v>97</v>
      </c>
      <c r="E100" s="26">
        <f t="shared" ref="E100:E103" si="6">D100*$B$4+$B$3</f>
        <v>9.7000000000000011</v>
      </c>
      <c r="F100" s="26" t="str">
        <f>((IMSUM(IMPRODUCT(COMPLEX(0,1),'Cálculo Y1'!F100),IMPRODUCT(COMPLEX(0,1),'Cálculo Y2'!F100))))</f>
        <v>-12,0609465338481</v>
      </c>
      <c r="G100" s="26" t="str">
        <f>IMSUM(IMPRODUCT(($B$6/$B$7)^(1/2),'Cálculo Y1'!F100),IMPRODUCT((-1)*(($B$6/$B$7)^(1/2)),'Cálculo Y2'!F100))</f>
        <v>-6,94688188678374</v>
      </c>
      <c r="H100" s="26" t="str">
        <f t="shared" si="5"/>
        <v>12,332707160259</v>
      </c>
    </row>
    <row r="101" spans="4:8" x14ac:dyDescent="0.45">
      <c r="D101" s="27">
        <v>98</v>
      </c>
      <c r="E101" s="26">
        <f t="shared" si="6"/>
        <v>9.8000000000000007</v>
      </c>
      <c r="F101" s="26" t="str">
        <f>((IMSUM(IMPRODUCT(COMPLEX(0,1),'Cálculo Y1'!F101),IMPRODUCT(COMPLEX(0,1),'Cálculo Y2'!F101))))</f>
        <v>-12,6927055641332</v>
      </c>
      <c r="G101" s="26" t="str">
        <f>IMSUM(IMPRODUCT(($B$6/$B$7)^(1/2),'Cálculo Y1'!F101),IMPRODUCT((-1)*(($B$6/$B$7)^(1/2)),'Cálculo Y2'!F101))</f>
        <v>-5,67620259154432</v>
      </c>
      <c r="H101" s="26" t="str">
        <f t="shared" si="5"/>
        <v>13,0591846933851</v>
      </c>
    </row>
    <row r="102" spans="4:8" x14ac:dyDescent="0.45">
      <c r="D102" s="27">
        <v>99</v>
      </c>
      <c r="E102" s="26">
        <f t="shared" si="6"/>
        <v>9.9</v>
      </c>
      <c r="F102" s="26" t="str">
        <f>((IMSUM(IMPRODUCT(COMPLEX(0,1),'Cálculo Y1'!F102),IMPRODUCT(COMPLEX(0,1),'Cálculo Y2'!F102))))</f>
        <v>-13,1939847995628</v>
      </c>
      <c r="G102" s="26" t="str">
        <f>IMSUM(IMPRODUCT(($B$6/$B$7)^(1/2),'Cálculo Y1'!F102),IMPRODUCT((-1)*(($B$6/$B$7)^(1/2)),'Cálculo Y2'!F102))</f>
        <v>-4,3395199198821</v>
      </c>
      <c r="H102" s="26" t="str">
        <f t="shared" si="5"/>
        <v>13,6515206933381</v>
      </c>
    </row>
    <row r="103" spans="4:8" x14ac:dyDescent="0.45">
      <c r="D103" s="27">
        <v>100</v>
      </c>
      <c r="E103" s="26">
        <f t="shared" si="6"/>
        <v>10</v>
      </c>
      <c r="F103" s="26" t="str">
        <f>((IMSUM(IMPRODUCT(COMPLEX(0,1),'Cálculo Y1'!F103),IMPRODUCT(COMPLEX(0,1),'Cálculo Y2'!F103))))</f>
        <v>-13,5588665853192</v>
      </c>
      <c r="G103" s="26" t="str">
        <f>IMSUM(IMPRODUCT(($B$6/$B$7)^(1/2),'Cálculo Y1'!F103),IMPRODUCT((-1)*(($B$6/$B$7)^(1/2)),'Cálculo Y2'!F103))</f>
        <v>-2,95060120558814</v>
      </c>
      <c r="H103" s="26" t="str">
        <f t="shared" si="5"/>
        <v>14,1028876962086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7"/>
  <dimension ref="B3:C15"/>
  <sheetViews>
    <sheetView showGridLines="0" topLeftCell="A4" workbookViewId="0">
      <selection activeCell="D23" sqref="D23"/>
    </sheetView>
  </sheetViews>
  <sheetFormatPr defaultRowHeight="12.75" x14ac:dyDescent="0.35"/>
  <cols>
    <col min="1" max="2" width="9.1328125" style="17"/>
    <col min="3" max="3" width="41" style="17" customWidth="1"/>
    <col min="4" max="258" width="9.1328125" style="17"/>
    <col min="259" max="259" width="41" style="17" customWidth="1"/>
    <col min="260" max="514" width="9.1328125" style="17"/>
    <col min="515" max="515" width="41" style="17" customWidth="1"/>
    <col min="516" max="770" width="9.1328125" style="17"/>
    <col min="771" max="771" width="41" style="17" customWidth="1"/>
    <col min="772" max="1026" width="9.1328125" style="17"/>
    <col min="1027" max="1027" width="41" style="17" customWidth="1"/>
    <col min="1028" max="1282" width="9.1328125" style="17"/>
    <col min="1283" max="1283" width="41" style="17" customWidth="1"/>
    <col min="1284" max="1538" width="9.1328125" style="17"/>
    <col min="1539" max="1539" width="41" style="17" customWidth="1"/>
    <col min="1540" max="1794" width="9.1328125" style="17"/>
    <col min="1795" max="1795" width="41" style="17" customWidth="1"/>
    <col min="1796" max="2050" width="9.1328125" style="17"/>
    <col min="2051" max="2051" width="41" style="17" customWidth="1"/>
    <col min="2052" max="2306" width="9.1328125" style="17"/>
    <col min="2307" max="2307" width="41" style="17" customWidth="1"/>
    <col min="2308" max="2562" width="9.1328125" style="17"/>
    <col min="2563" max="2563" width="41" style="17" customWidth="1"/>
    <col min="2564" max="2818" width="9.1328125" style="17"/>
    <col min="2819" max="2819" width="41" style="17" customWidth="1"/>
    <col min="2820" max="3074" width="9.1328125" style="17"/>
    <col min="3075" max="3075" width="41" style="17" customWidth="1"/>
    <col min="3076" max="3330" width="9.1328125" style="17"/>
    <col min="3331" max="3331" width="41" style="17" customWidth="1"/>
    <col min="3332" max="3586" width="9.1328125" style="17"/>
    <col min="3587" max="3587" width="41" style="17" customWidth="1"/>
    <col min="3588" max="3842" width="9.1328125" style="17"/>
    <col min="3843" max="3843" width="41" style="17" customWidth="1"/>
    <col min="3844" max="4098" width="9.1328125" style="17"/>
    <col min="4099" max="4099" width="41" style="17" customWidth="1"/>
    <col min="4100" max="4354" width="9.1328125" style="17"/>
    <col min="4355" max="4355" width="41" style="17" customWidth="1"/>
    <col min="4356" max="4610" width="9.1328125" style="17"/>
    <col min="4611" max="4611" width="41" style="17" customWidth="1"/>
    <col min="4612" max="4866" width="9.1328125" style="17"/>
    <col min="4867" max="4867" width="41" style="17" customWidth="1"/>
    <col min="4868" max="5122" width="9.1328125" style="17"/>
    <col min="5123" max="5123" width="41" style="17" customWidth="1"/>
    <col min="5124" max="5378" width="9.1328125" style="17"/>
    <col min="5379" max="5379" width="41" style="17" customWidth="1"/>
    <col min="5380" max="5634" width="9.1328125" style="17"/>
    <col min="5635" max="5635" width="41" style="17" customWidth="1"/>
    <col min="5636" max="5890" width="9.1328125" style="17"/>
    <col min="5891" max="5891" width="41" style="17" customWidth="1"/>
    <col min="5892" max="6146" width="9.1328125" style="17"/>
    <col min="6147" max="6147" width="41" style="17" customWidth="1"/>
    <col min="6148" max="6402" width="9.1328125" style="17"/>
    <col min="6403" max="6403" width="41" style="17" customWidth="1"/>
    <col min="6404" max="6658" width="9.1328125" style="17"/>
    <col min="6659" max="6659" width="41" style="17" customWidth="1"/>
    <col min="6660" max="6914" width="9.1328125" style="17"/>
    <col min="6915" max="6915" width="41" style="17" customWidth="1"/>
    <col min="6916" max="7170" width="9.1328125" style="17"/>
    <col min="7171" max="7171" width="41" style="17" customWidth="1"/>
    <col min="7172" max="7426" width="9.1328125" style="17"/>
    <col min="7427" max="7427" width="41" style="17" customWidth="1"/>
    <col min="7428" max="7682" width="9.1328125" style="17"/>
    <col min="7683" max="7683" width="41" style="17" customWidth="1"/>
    <col min="7684" max="7938" width="9.1328125" style="17"/>
    <col min="7939" max="7939" width="41" style="17" customWidth="1"/>
    <col min="7940" max="8194" width="9.1328125" style="17"/>
    <col min="8195" max="8195" width="41" style="17" customWidth="1"/>
    <col min="8196" max="8450" width="9.1328125" style="17"/>
    <col min="8451" max="8451" width="41" style="17" customWidth="1"/>
    <col min="8452" max="8706" width="9.1328125" style="17"/>
    <col min="8707" max="8707" width="41" style="17" customWidth="1"/>
    <col min="8708" max="8962" width="9.1328125" style="17"/>
    <col min="8963" max="8963" width="41" style="17" customWidth="1"/>
    <col min="8964" max="9218" width="9.1328125" style="17"/>
    <col min="9219" max="9219" width="41" style="17" customWidth="1"/>
    <col min="9220" max="9474" width="9.1328125" style="17"/>
    <col min="9475" max="9475" width="41" style="17" customWidth="1"/>
    <col min="9476" max="9730" width="9.1328125" style="17"/>
    <col min="9731" max="9731" width="41" style="17" customWidth="1"/>
    <col min="9732" max="9986" width="9.1328125" style="17"/>
    <col min="9987" max="9987" width="41" style="17" customWidth="1"/>
    <col min="9988" max="10242" width="9.1328125" style="17"/>
    <col min="10243" max="10243" width="41" style="17" customWidth="1"/>
    <col min="10244" max="10498" width="9.1328125" style="17"/>
    <col min="10499" max="10499" width="41" style="17" customWidth="1"/>
    <col min="10500" max="10754" width="9.1328125" style="17"/>
    <col min="10755" max="10755" width="41" style="17" customWidth="1"/>
    <col min="10756" max="11010" width="9.1328125" style="17"/>
    <col min="11011" max="11011" width="41" style="17" customWidth="1"/>
    <col min="11012" max="11266" width="9.1328125" style="17"/>
    <col min="11267" max="11267" width="41" style="17" customWidth="1"/>
    <col min="11268" max="11522" width="9.1328125" style="17"/>
    <col min="11523" max="11523" width="41" style="17" customWidth="1"/>
    <col min="11524" max="11778" width="9.1328125" style="17"/>
    <col min="11779" max="11779" width="41" style="17" customWidth="1"/>
    <col min="11780" max="12034" width="9.1328125" style="17"/>
    <col min="12035" max="12035" width="41" style="17" customWidth="1"/>
    <col min="12036" max="12290" width="9.1328125" style="17"/>
    <col min="12291" max="12291" width="41" style="17" customWidth="1"/>
    <col min="12292" max="12546" width="9.1328125" style="17"/>
    <col min="12547" max="12547" width="41" style="17" customWidth="1"/>
    <col min="12548" max="12802" width="9.1328125" style="17"/>
    <col min="12803" max="12803" width="41" style="17" customWidth="1"/>
    <col min="12804" max="13058" width="9.1328125" style="17"/>
    <col min="13059" max="13059" width="41" style="17" customWidth="1"/>
    <col min="13060" max="13314" width="9.1328125" style="17"/>
    <col min="13315" max="13315" width="41" style="17" customWidth="1"/>
    <col min="13316" max="13570" width="9.1328125" style="17"/>
    <col min="13571" max="13571" width="41" style="17" customWidth="1"/>
    <col min="13572" max="13826" width="9.1328125" style="17"/>
    <col min="13827" max="13827" width="41" style="17" customWidth="1"/>
    <col min="13828" max="14082" width="9.1328125" style="17"/>
    <col min="14083" max="14083" width="41" style="17" customWidth="1"/>
    <col min="14084" max="14338" width="9.1328125" style="17"/>
    <col min="14339" max="14339" width="41" style="17" customWidth="1"/>
    <col min="14340" max="14594" width="9.1328125" style="17"/>
    <col min="14595" max="14595" width="41" style="17" customWidth="1"/>
    <col min="14596" max="14850" width="9.1328125" style="17"/>
    <col min="14851" max="14851" width="41" style="17" customWidth="1"/>
    <col min="14852" max="15106" width="9.1328125" style="17"/>
    <col min="15107" max="15107" width="41" style="17" customWidth="1"/>
    <col min="15108" max="15362" width="9.1328125" style="17"/>
    <col min="15363" max="15363" width="41" style="17" customWidth="1"/>
    <col min="15364" max="15618" width="9.1328125" style="17"/>
    <col min="15619" max="15619" width="41" style="17" customWidth="1"/>
    <col min="15620" max="15874" width="9.1328125" style="17"/>
    <col min="15875" max="15875" width="41" style="17" customWidth="1"/>
    <col min="15876" max="16130" width="9.1328125" style="17"/>
    <col min="16131" max="16131" width="41" style="17" customWidth="1"/>
    <col min="16132" max="16384" width="9.1328125" style="17"/>
  </cols>
  <sheetData>
    <row r="3" spans="2:3" ht="15" x14ac:dyDescent="0.4">
      <c r="B3" s="21"/>
    </row>
    <row r="5" spans="2:3" ht="22.5" x14ac:dyDescent="0.6">
      <c r="B5" s="15" t="s">
        <v>28</v>
      </c>
    </row>
    <row r="7" spans="2:3" ht="118.5" customHeight="1" x14ac:dyDescent="0.35">
      <c r="C7" s="18" t="s">
        <v>29</v>
      </c>
    </row>
    <row r="11" spans="2:3" ht="22.5" x14ac:dyDescent="0.6">
      <c r="B11" s="15" t="s">
        <v>30</v>
      </c>
    </row>
    <row r="13" spans="2:3" x14ac:dyDescent="0.35">
      <c r="C13" s="22" t="s">
        <v>31</v>
      </c>
    </row>
    <row r="14" spans="2:3" x14ac:dyDescent="0.35">
      <c r="C14" s="22" t="s">
        <v>32</v>
      </c>
    </row>
    <row r="15" spans="2:3" x14ac:dyDescent="0.35">
      <c r="C15" s="22" t="s">
        <v>33</v>
      </c>
    </row>
  </sheetData>
  <pageMargins left="0.78740157499999996" right="0.78740157499999996" top="0.984251969" bottom="0.984251969" header="0.49212598499999999" footer="0.49212598499999999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Capa</vt:lpstr>
      <vt:lpstr>Introdução</vt:lpstr>
      <vt:lpstr>Animação</vt:lpstr>
      <vt:lpstr>Cálculo Y1</vt:lpstr>
      <vt:lpstr>Cálculo Y2</vt:lpstr>
      <vt:lpstr>Calculo Final</vt:lpstr>
      <vt:lpstr>Conclusão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Marcos</dc:creator>
  <cp:lastModifiedBy>Marcos Carneiro</cp:lastModifiedBy>
  <dcterms:created xsi:type="dcterms:W3CDTF">2014-06-07T02:13:46Z</dcterms:created>
  <dcterms:modified xsi:type="dcterms:W3CDTF">2022-07-15T20:27:53Z</dcterms:modified>
</cp:coreProperties>
</file>